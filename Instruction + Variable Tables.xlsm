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ireb\git\ZDrive\"/>
    </mc:Choice>
  </mc:AlternateContent>
  <xr:revisionPtr revIDLastSave="0" documentId="13_ncr:1_{CEA51C5A-65E3-4640-A64A-9ED274DDFD9B}" xr6:coauthVersionLast="47" xr6:coauthVersionMax="47" xr10:uidLastSave="{00000000-0000-0000-0000-000000000000}"/>
  <bookViews>
    <workbookView xWindow="-24195" yWindow="9810" windowWidth="19530" windowHeight="13050" xr2:uid="{00000000-000D-0000-FFFF-FFFF00000000}"/>
  </bookViews>
  <sheets>
    <sheet name="RoutineBase OpCodes" sheetId="1" r:id="rId1"/>
    <sheet name="VarTable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62" i="1" l="1"/>
  <c r="A63" i="1"/>
  <c r="E63" i="1"/>
  <c r="A62" i="1"/>
  <c r="E2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2" i="1"/>
  <c r="G60" i="2"/>
  <c r="G3" i="2"/>
  <c r="A3" i="1" l="1"/>
  <c r="A5" i="2" l="1"/>
  <c r="G4" i="2"/>
  <c r="A4" i="1"/>
  <c r="A6" i="2" l="1"/>
  <c r="G5" i="2"/>
  <c r="A5" i="1"/>
  <c r="A7" i="2" l="1"/>
  <c r="G6" i="2"/>
  <c r="A6" i="1"/>
  <c r="A8" i="2" l="1"/>
  <c r="G7" i="2"/>
  <c r="A7" i="1"/>
  <c r="A9" i="2" l="1"/>
  <c r="G8" i="2"/>
  <c r="A8" i="1"/>
  <c r="A10" i="2" l="1"/>
  <c r="G9" i="2"/>
  <c r="A9" i="1"/>
  <c r="A11" i="2" l="1"/>
  <c r="G10" i="2"/>
  <c r="A10" i="1"/>
  <c r="A12" i="2" l="1"/>
  <c r="G11" i="2"/>
  <c r="A11" i="1"/>
  <c r="A13" i="2" l="1"/>
  <c r="G12" i="2"/>
  <c r="A12" i="1"/>
  <c r="A14" i="2" l="1"/>
  <c r="G13" i="2"/>
  <c r="A13" i="1"/>
  <c r="A15" i="2" l="1"/>
  <c r="G14" i="2"/>
  <c r="A14" i="1"/>
  <c r="A16" i="2" l="1"/>
  <c r="G15" i="2"/>
  <c r="A15" i="1"/>
  <c r="A17" i="2" l="1"/>
  <c r="G16" i="2"/>
  <c r="A16" i="1"/>
  <c r="A18" i="2" l="1"/>
  <c r="G17" i="2"/>
  <c r="A17" i="1"/>
  <c r="A19" i="2" l="1"/>
  <c r="G18" i="2"/>
  <c r="A18" i="1"/>
  <c r="A20" i="2" l="1"/>
  <c r="G19" i="2"/>
  <c r="A19" i="1"/>
  <c r="A21" i="2" l="1"/>
  <c r="G20" i="2"/>
  <c r="A20" i="1"/>
  <c r="A22" i="2" l="1"/>
  <c r="G21" i="2"/>
  <c r="A21" i="1"/>
  <c r="A23" i="2" l="1"/>
  <c r="G22" i="2"/>
  <c r="A22" i="1"/>
  <c r="A24" i="2" l="1"/>
  <c r="G23" i="2"/>
  <c r="A23" i="1"/>
  <c r="A25" i="2" l="1"/>
  <c r="G24" i="2"/>
  <c r="A24" i="1"/>
  <c r="A26" i="2" l="1"/>
  <c r="G25" i="2"/>
  <c r="A25" i="1"/>
  <c r="A27" i="2" l="1"/>
  <c r="G26" i="2"/>
  <c r="A26" i="1"/>
  <c r="A28" i="2" l="1"/>
  <c r="G27" i="2"/>
  <c r="A27" i="1"/>
  <c r="A29" i="2" l="1"/>
  <c r="G28" i="2"/>
  <c r="A28" i="1"/>
  <c r="A30" i="2" l="1"/>
  <c r="G29" i="2"/>
  <c r="A29" i="1"/>
  <c r="A31" i="2" l="1"/>
  <c r="G30" i="2"/>
  <c r="A30" i="1"/>
  <c r="A32" i="2" l="1"/>
  <c r="G31" i="2"/>
  <c r="A31" i="1"/>
  <c r="A33" i="2" l="1"/>
  <c r="G32" i="2"/>
  <c r="A32" i="1"/>
  <c r="A34" i="2" l="1"/>
  <c r="G33" i="2"/>
  <c r="A33" i="1"/>
  <c r="A35" i="2" l="1"/>
  <c r="G34" i="2"/>
  <c r="A34" i="1"/>
  <c r="A36" i="2" l="1"/>
  <c r="G35" i="2"/>
  <c r="A35" i="1"/>
  <c r="A37" i="2" l="1"/>
  <c r="G36" i="2"/>
  <c r="A36" i="1"/>
  <c r="A38" i="2" l="1"/>
  <c r="G37" i="2"/>
  <c r="A37" i="1"/>
  <c r="A39" i="2" l="1"/>
  <c r="G38" i="2"/>
  <c r="A38" i="1"/>
  <c r="A40" i="2" l="1"/>
  <c r="G39" i="2"/>
  <c r="A39" i="1"/>
  <c r="A41" i="2" l="1"/>
  <c r="G40" i="2"/>
  <c r="A40" i="1"/>
  <c r="A42" i="2" l="1"/>
  <c r="G41" i="2"/>
  <c r="A41" i="1"/>
  <c r="A43" i="2" l="1"/>
  <c r="G42" i="2"/>
  <c r="A42" i="1"/>
  <c r="A44" i="2" l="1"/>
  <c r="G43" i="2"/>
  <c r="A43" i="1"/>
  <c r="A45" i="2" l="1"/>
  <c r="G44" i="2"/>
  <c r="A44" i="1"/>
  <c r="A46" i="2" l="1"/>
  <c r="G45" i="2"/>
  <c r="A45" i="1"/>
  <c r="A47" i="2" l="1"/>
  <c r="G46" i="2"/>
  <c r="A46" i="1"/>
  <c r="A48" i="2" l="1"/>
  <c r="G47" i="2"/>
  <c r="A47" i="1"/>
  <c r="A49" i="2" l="1"/>
  <c r="G48" i="2"/>
  <c r="A48" i="1"/>
  <c r="A50" i="2" l="1"/>
  <c r="G49" i="2"/>
  <c r="A49" i="1"/>
  <c r="A51" i="2" l="1"/>
  <c r="G50" i="2"/>
  <c r="A50" i="1"/>
  <c r="A52" i="2" l="1"/>
  <c r="G51" i="2"/>
  <c r="A51" i="1"/>
  <c r="A53" i="2" l="1"/>
  <c r="G52" i="2"/>
  <c r="A52" i="1"/>
  <c r="A54" i="2" l="1"/>
  <c r="G53" i="2"/>
  <c r="A53" i="1"/>
  <c r="A55" i="2" l="1"/>
  <c r="G54" i="2"/>
  <c r="A54" i="1"/>
  <c r="A56" i="2" l="1"/>
  <c r="G55" i="2"/>
  <c r="A55" i="1"/>
  <c r="A57" i="2" l="1"/>
  <c r="G56" i="2"/>
  <c r="A56" i="1"/>
  <c r="A58" i="2" l="1"/>
  <c r="G58" i="2" s="1"/>
  <c r="G57" i="2"/>
  <c r="A57" i="1"/>
  <c r="A58" i="1" l="1"/>
  <c r="A59" i="1" l="1"/>
  <c r="A60" i="1" l="1"/>
  <c r="A61" i="1" l="1"/>
</calcChain>
</file>

<file path=xl/sharedStrings.xml><?xml version="1.0" encoding="utf-8"?>
<sst xmlns="http://schemas.openxmlformats.org/spreadsheetml/2006/main" count="464" uniqueCount="233">
  <si>
    <t>Code</t>
  </si>
  <si>
    <t>Description</t>
  </si>
  <si>
    <t>Signature</t>
  </si>
  <si>
    <t>nop()</t>
  </si>
  <si>
    <t>Does nothing</t>
  </si>
  <si>
    <t>Halts execution for t ticks</t>
  </si>
  <si>
    <t>wait(uint t)</t>
  </si>
  <si>
    <t>jmp(uint pos, sint t)</t>
  </si>
  <si>
    <t>Jumps to pos and sets time to t.</t>
  </si>
  <si>
    <t>Notes</t>
  </si>
  <si>
    <t>Pos must be the first entry in an instruction header. Pos is relative to the first instruction in a routine.</t>
  </si>
  <si>
    <t>See 'jmp' notes. Dec should refer to an int variable. Decrementing a float variable will result in decrementing the raw bits, not the numerical value. Refer to IEEE-754 for more.</t>
  </si>
  <si>
    <t xml:space="preserve">loop(uint pos, sint t, vti dec) </t>
  </si>
  <si>
    <t>vt[id] = val</t>
  </si>
  <si>
    <t>set(vta id, any val)</t>
  </si>
  <si>
    <t>iset_rand_sign(vts id, sint val)</t>
  </si>
  <si>
    <t>fset(vtf id, sint val)</t>
  </si>
  <si>
    <t>vt[id] = static_cast&lt;float&gt;(val)</t>
  </si>
  <si>
    <t>vt[id] = either val or -val, randomly</t>
  </si>
  <si>
    <t>50/50 probability</t>
  </si>
  <si>
    <t>fset_rand_sign(vtf id, float val)</t>
  </si>
  <si>
    <t>converts an integer to a float</t>
  </si>
  <si>
    <t>vt[id] = static_cast&lt;sint&gt;(val)</t>
  </si>
  <si>
    <t>iset(vti id, float val)</t>
  </si>
  <si>
    <t>converts a float to an integer</t>
  </si>
  <si>
    <t>vt[id] += val</t>
  </si>
  <si>
    <t>vt[id] -= val</t>
  </si>
  <si>
    <t>imul(vti id, sint val)</t>
  </si>
  <si>
    <t>vt[id] *= val</t>
  </si>
  <si>
    <t>idiv(vti id, sint val)</t>
  </si>
  <si>
    <t>vt[id] /= val</t>
  </si>
  <si>
    <t>vt[id] %= val</t>
  </si>
  <si>
    <t>idk for sure how negative numbers work with % operator, but I think it’s the same result</t>
  </si>
  <si>
    <t>vt[id] = val % vt[id]</t>
  </si>
  <si>
    <t>fadd(vtf id, float val)</t>
  </si>
  <si>
    <t>fsub(vtf id, float val)</t>
  </si>
  <si>
    <t>fmul(vtf id, float val)</t>
  </si>
  <si>
    <t>fdiv(vtf id, float val)</t>
  </si>
  <si>
    <t>fmod(vtf id, float val)</t>
  </si>
  <si>
    <t>does % even work on floats? Only one way to find out</t>
  </si>
  <si>
    <t>fmod2(vtf id, float val)</t>
  </si>
  <si>
    <t>iset_add(vti id, int a, int b)</t>
  </si>
  <si>
    <t>vt[id] = a+b</t>
  </si>
  <si>
    <t>iset_sub(vti id, int a, int b)</t>
  </si>
  <si>
    <t>vt[id] = a-b</t>
  </si>
  <si>
    <t>iset_mul(vti id, int a, int b)</t>
  </si>
  <si>
    <t>vt[id] = a*b</t>
  </si>
  <si>
    <t>iset_div(vti id, int a, int b)</t>
  </si>
  <si>
    <t>vt[id] = a/b</t>
  </si>
  <si>
    <t>integer division (rounded down)</t>
  </si>
  <si>
    <t>vt[id] = a%b</t>
  </si>
  <si>
    <t>iset_mod(vti id, int a, int b)</t>
  </si>
  <si>
    <t>fset_add(vtf id, float a, float b)</t>
  </si>
  <si>
    <t>fset_sub(vtf id, float a, float b)</t>
  </si>
  <si>
    <t>fset_mul(vtf id, float a, float b)</t>
  </si>
  <si>
    <t>fset_div(vtf id, float a, float b)</t>
  </si>
  <si>
    <t>fset_mod(vtf id, float a, float v)</t>
  </si>
  <si>
    <t>iinc(vti id)</t>
  </si>
  <si>
    <t>vt[id]++</t>
  </si>
  <si>
    <t>vt[id] += 1</t>
  </si>
  <si>
    <t>finc(vti id)</t>
  </si>
  <si>
    <t>vt[id]--</t>
  </si>
  <si>
    <t>vt[id] -= 1</t>
  </si>
  <si>
    <t>fdec(vtf id)</t>
  </si>
  <si>
    <t>idec(vtf id)</t>
  </si>
  <si>
    <t>fset_sin(vtf id, float val)</t>
  </si>
  <si>
    <t>vt[id] = sin(val)</t>
  </si>
  <si>
    <t>radians</t>
  </si>
  <si>
    <t>fset_cos(vtf id, float val)</t>
  </si>
  <si>
    <t>vt[id] = cos(val)</t>
  </si>
  <si>
    <t>fset_tan(vtf id, float val)</t>
  </si>
  <si>
    <t>vt[id] = tan(val)</t>
  </si>
  <si>
    <t>fset_angle(vtf id, float x1, float y1, float x2, float y2)</t>
  </si>
  <si>
    <t>vt[id] = angle from (x1, y1) to (x2, y2)</t>
  </si>
  <si>
    <t>Interpolates var from start to end over t ticks using mode m. In bezier mode, start -&gt; f1 -&gt; f2 -&gt; end</t>
  </si>
  <si>
    <t>finterp(vtf id, uint t, uint m, float start, float end, float f1, float f2)</t>
  </si>
  <si>
    <t>normRad(vtf id)</t>
  </si>
  <si>
    <t>mathCirclePos(vtf idX, vtf idY, float r, float theta)</t>
  </si>
  <si>
    <t>sets vt[idX] and vt[idY] to the cartesian coordinates of (r, theta)</t>
  </si>
  <si>
    <t>mathDistance(vtf id, float x1, float y1, float x2, float y2)</t>
  </si>
  <si>
    <t>sets vt[id] to the distance between (x1, y1) and (x2, y2)</t>
  </si>
  <si>
    <t>if (a == b) jmp(pos, t)</t>
  </si>
  <si>
    <t>See 'jmp' notes. Compares bitwise equality.</t>
  </si>
  <si>
    <t>jmp_equ(uint pos, sint t, any a, any b)</t>
  </si>
  <si>
    <t>jmp_equ_f(uint pos, sint t, float a, float b, float epsilon)</t>
  </si>
  <si>
    <t>See 'jmp' notes. Tests for approximate equality.</t>
  </si>
  <si>
    <t>jmp_neq(uint pos, sint t, any a, any b)</t>
  </si>
  <si>
    <t>if (a != b) jmp(pos, t)</t>
  </si>
  <si>
    <t>See 'jmp' notes. Compares bitwise inequality.</t>
  </si>
  <si>
    <t>jmp_neq_f(uint pos, sint t, float a, float b, float epsilon)</t>
  </si>
  <si>
    <t>See 'jmp' notes. Tests for approximate inequality.</t>
  </si>
  <si>
    <t>jmp_lt(uint pos, sint t, sint a, sint b)</t>
  </si>
  <si>
    <t>if (a &lt; b) jmp(pos, t)</t>
  </si>
  <si>
    <t>See 'jmp' notes.</t>
  </si>
  <si>
    <t>jmp_lte(uint pos, sint t, sint a, sint b)</t>
  </si>
  <si>
    <t>if (a &lt;= b) jmp(pos, t)</t>
  </si>
  <si>
    <t>jmp_lte_f(uint pos, sint t, float a, float b, float epsilon)</t>
  </si>
  <si>
    <t>jmp_gt(uint pos, sint t, sint a, sint b)</t>
  </si>
  <si>
    <t>if (a &gt; b) jmp(pos, t)</t>
  </si>
  <si>
    <t>jmp_gte(uint pos, sint t, sint a, sint b)</t>
  </si>
  <si>
    <t>jmp_gte_f(uint pos, sint t, float a, float b, float epsilon)</t>
  </si>
  <si>
    <t>if (a &gt;= b) jmp(pos, t)</t>
  </si>
  <si>
    <t>call(uint id)</t>
  </si>
  <si>
    <t>creates and runs a new instance of the routine with id 'id'</t>
  </si>
  <si>
    <t>ret()</t>
  </si>
  <si>
    <t>writes val to the VM's output stream with importance of level</t>
  </si>
  <si>
    <t>yeild()</t>
  </si>
  <si>
    <t>stops execution for the rest of the tick. Will resume on next tick.</t>
  </si>
  <si>
    <t>Name</t>
  </si>
  <si>
    <t>I0</t>
  </si>
  <si>
    <t>I1</t>
  </si>
  <si>
    <t>I2</t>
  </si>
  <si>
    <t>I3</t>
  </si>
  <si>
    <t>I4</t>
  </si>
  <si>
    <t>I5</t>
  </si>
  <si>
    <t>I6</t>
  </si>
  <si>
    <t>I7</t>
  </si>
  <si>
    <t>Scope</t>
  </si>
  <si>
    <t>Access</t>
  </si>
  <si>
    <t>Type</t>
  </si>
  <si>
    <t>int</t>
  </si>
  <si>
    <t>inherited</t>
  </si>
  <si>
    <t>LI0</t>
  </si>
  <si>
    <t>NOT inherited</t>
  </si>
  <si>
    <t>LI1</t>
  </si>
  <si>
    <t>LI2</t>
  </si>
  <si>
    <t>LI3</t>
  </si>
  <si>
    <t>LI4</t>
  </si>
  <si>
    <t>LI5</t>
  </si>
  <si>
    <t>LI6</t>
  </si>
  <si>
    <t>LI7</t>
  </si>
  <si>
    <t>F0</t>
  </si>
  <si>
    <t>float</t>
  </si>
  <si>
    <t>F1</t>
  </si>
  <si>
    <t>F2</t>
  </si>
  <si>
    <t>F3</t>
  </si>
  <si>
    <t>F4</t>
  </si>
  <si>
    <t>F5</t>
  </si>
  <si>
    <t>F6</t>
  </si>
  <si>
    <t>F7</t>
  </si>
  <si>
    <t>LF0</t>
  </si>
  <si>
    <t>LF1</t>
  </si>
  <si>
    <t>LF2</t>
  </si>
  <si>
    <t>LF3</t>
  </si>
  <si>
    <t>LF4</t>
  </si>
  <si>
    <t>LF5</t>
  </si>
  <si>
    <t>LF6</t>
  </si>
  <si>
    <t>LF7</t>
  </si>
  <si>
    <t>local</t>
  </si>
  <si>
    <t>r/w</t>
  </si>
  <si>
    <t>r</t>
  </si>
  <si>
    <t>seeded random [0, RAND_MAX]</t>
  </si>
  <si>
    <t>global</t>
  </si>
  <si>
    <t>Difficulty: 0 = easy, 1 = normal, 2 = hard, 4 = lunatic, etc.</t>
  </si>
  <si>
    <t>Rank: same 2^n as Difficulty</t>
  </si>
  <si>
    <t>ticks since creation</t>
  </si>
  <si>
    <t>mutable up-counter timer (in ticks, starts on creation)</t>
  </si>
  <si>
    <t>player+shot type</t>
  </si>
  <si>
    <t>seeded random [-pi, pi)</t>
  </si>
  <si>
    <t>BASE</t>
  </si>
  <si>
    <t>ENT</t>
  </si>
  <si>
    <t>IN0</t>
  </si>
  <si>
    <t>IN1</t>
  </si>
  <si>
    <t>IN2</t>
  </si>
  <si>
    <t>IN3</t>
  </si>
  <si>
    <t>IN4</t>
  </si>
  <si>
    <t>IN5</t>
  </si>
  <si>
    <t>IN6</t>
  </si>
  <si>
    <t>IN7</t>
  </si>
  <si>
    <t>input from call, copied from OUT0 of calling routine</t>
  </si>
  <si>
    <t>input from call, copied from OUT1 of calling routine</t>
  </si>
  <si>
    <t>input from call, copied from OUT2 of calling routine</t>
  </si>
  <si>
    <t>input from call, copied from OUT3 of calling routine</t>
  </si>
  <si>
    <t>input from call, copied from OUT4 of calling routine</t>
  </si>
  <si>
    <t>input from call, copied from OUT5 of calling routine</t>
  </si>
  <si>
    <t>input from call, copied from OUT6 of calling routine</t>
  </si>
  <si>
    <t>input from call, copied from OUT7 of calling routine</t>
  </si>
  <si>
    <t>any</t>
  </si>
  <si>
    <t>OUT0</t>
  </si>
  <si>
    <t>OUT1</t>
  </si>
  <si>
    <t>OUT2</t>
  </si>
  <si>
    <t>OUT3</t>
  </si>
  <si>
    <t>OUT4</t>
  </si>
  <si>
    <t>OUT5</t>
  </si>
  <si>
    <t>OUT6</t>
  </si>
  <si>
    <t>OUT7</t>
  </si>
  <si>
    <t>output to call, copied to IN0 of called routine</t>
  </si>
  <si>
    <t>output to call, copied to IN1 of called routine</t>
  </si>
  <si>
    <t>output to call, copied to IN2 of called routine</t>
  </si>
  <si>
    <t>output to call, copied to IN3 of called routine</t>
  </si>
  <si>
    <t>output to call, copied to IN4 of called routine</t>
  </si>
  <si>
    <t>output to call, copied to IN5 of called routine</t>
  </si>
  <si>
    <t>output to call, copied to IN6 of called routine</t>
  </si>
  <si>
    <t>output to call, copied to IN7 of called routine</t>
  </si>
  <si>
    <t>seeded random [0.0f, 1.0f)</t>
  </si>
  <si>
    <t>seeded random [-1.0f, 1.0f)</t>
  </si>
  <si>
    <t>Immediately returns from the calling routine, marking it for deletion.</t>
  </si>
  <si>
    <t>print(uint level, uint type, uint val)</t>
  </si>
  <si>
    <t>Level: DEBUG = 0, INFO = 1, WARN = 2, ERROR = 3, FATAL = 4, LOG = anything else. Type: SINT = 0, UINT = 1, FLOAT = 2, RAWHEX = 3</t>
  </si>
  <si>
    <t>if (vt[dec] != 0) Jumps to pos, sets time to t, and decrements vartable id dec</t>
  </si>
  <si>
    <t>jmp_lt_f(uint pos, sint t, float a, float b)</t>
  </si>
  <si>
    <t>arg_out of the calling routine is copied to arg_in of the called routine</t>
  </si>
  <si>
    <t>set_ptr(vta dest, vta ptr_to)</t>
  </si>
  <si>
    <t>vt[dest] = &amp;vt[ptr_to]</t>
  </si>
  <si>
    <t>A pointer is used like a vtid. If there is a pointer stored in IN4, to set it to 15: set($36, 15). Notice: set(36, 15) sets IN4 to 15, overwriting the pointer. "$" 'dereferences' IN4. Notice 2: Similar to C pointers, a pointer literal is dangerous. A pointer is a VTID which is layed out like so: 4096x+y. 'x' is the runtime routine id: 0 always refers to self and is the value for a vtid, 1 is probably the main routine since its the first routine created. 'y' is the vartable id. Notice 3: moddifying or reading pointers of routines that have ended can happen. If the routine has finished, a read will probably return 0. However, new routines can be assigned that same ID, and then the pointer will point to that new routine</t>
  </si>
  <si>
    <t>Bind statement</t>
  </si>
  <si>
    <t>RAND</t>
  </si>
  <si>
    <t>RANDF2</t>
  </si>
  <si>
    <t>RANDRAD</t>
  </si>
  <si>
    <t>DIFF</t>
  </si>
  <si>
    <t>RANK</t>
  </si>
  <si>
    <t>TIME</t>
  </si>
  <si>
    <t>CLOCK</t>
  </si>
  <si>
    <t>SHOT</t>
  </si>
  <si>
    <t>imod(vti id, sint val)</t>
  </si>
  <si>
    <t>imod2(vti id, sint val)</t>
  </si>
  <si>
    <t>a % b = c such that sign(c) = sign(a)</t>
  </si>
  <si>
    <t>integer division (rounded toward zero)</t>
  </si>
  <si>
    <t>RANDF</t>
  </si>
  <si>
    <t>iadd(vti id, sint val)</t>
  </si>
  <si>
    <t>isub(vti id, sint val)</t>
  </si>
  <si>
    <t>if (|a-b| &gt; |epsilon|) jmp(pos, t)</t>
  </si>
  <si>
    <t>if (a &gt;= b-sign(b)*|epsilon|) jmp(pos, t)</t>
  </si>
  <si>
    <t>jmp_gt_f(uint pos, sint t, float a, float b)</t>
  </si>
  <si>
    <t>if (|a-b| &lt;= |epsilon|) jmp(pos, t)</t>
  </si>
  <si>
    <t>if (a &lt; b+sign(b)*|epsilon|) jmp(pos, t)</t>
  </si>
  <si>
    <t>set_priority(sint priority)</t>
  </si>
  <si>
    <t>Routines will be ticked in order of priority (higher first) then instanceId (creation order)</t>
  </si>
  <si>
    <t>assert_ptr(vta ptr, vti result)</t>
  </si>
  <si>
    <t>Checks whether ptr is valid. If it is, vt[result] will be set to 0, otherwise an error code representing what happened.</t>
  </si>
  <si>
    <t>1: Routine instance not found. 2: Routine found but variable id was not.</t>
  </si>
  <si>
    <t>TODO: modes (see https://exphp.github.io/thpages/#/anm/interpolation)</t>
  </si>
  <si>
    <t>normalizes vt[id] to the range (-pi, pi]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</si>
</sst>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 tint="0.59999389629810485"/>
        <bgColor indexed="65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2" borderId="0" applyNumberFormat="0" applyBorder="0" applyAlignment="0" applyProtection="0"/>
  </cellStyleXfs>
  <cellXfs count="8">
    <xf numFmtId="0" fontId="0" fillId="0" borderId="0" xfId="0"/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center" vertical="top" wrapText="1"/>
    </xf>
    <xf numFmtId="0" fontId="1" fillId="0" borderId="0" xfId="0" applyFont="1"/>
    <xf numFmtId="0" fontId="1" fillId="0" borderId="0" xfId="0" applyFont="1" applyAlignment="1">
      <alignment horizontal="center"/>
    </xf>
    <xf numFmtId="0" fontId="3" fillId="2" borderId="0" xfId="1" applyBorder="1" applyAlignment="1">
      <alignment vertical="top" wrapText="1"/>
    </xf>
    <xf numFmtId="0" fontId="3" fillId="2" borderId="0" xfId="1" applyAlignment="1">
      <alignment horizontal="center"/>
    </xf>
    <xf numFmtId="0" fontId="3" fillId="2" borderId="0" xfId="1"/>
  </cellXfs>
  <cellStyles count="2">
    <cellStyle name="40% - Accent3" xfId="1" builtinId="39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63"/>
  <sheetViews>
    <sheetView tabSelected="1" topLeftCell="A39" workbookViewId="0">
      <selection activeCell="C43" sqref="C43"/>
    </sheetView>
  </sheetViews>
  <sheetFormatPr defaultRowHeight="14.6" x14ac:dyDescent="0.4"/>
  <cols>
    <col min="1" max="1" width="5.69140625" style="1" customWidth="1"/>
    <col min="2" max="2" width="30.69140625" style="2" customWidth="1"/>
    <col min="3" max="4" width="100.69140625" style="1" customWidth="1"/>
    <col min="5" max="5" width="25.69140625" style="1" customWidth="1"/>
    <col min="6" max="8" width="10.69140625" style="1" customWidth="1"/>
    <col min="9" max="16384" width="9.23046875" style="1"/>
  </cols>
  <sheetData>
    <row r="1" spans="1:5" x14ac:dyDescent="0.4">
      <c r="A1" s="1" t="s">
        <v>0</v>
      </c>
      <c r="B1" s="1" t="s">
        <v>2</v>
      </c>
      <c r="C1" s="1" t="s">
        <v>1</v>
      </c>
      <c r="D1" s="1" t="s">
        <v>9</v>
      </c>
    </row>
    <row r="2" spans="1:5" x14ac:dyDescent="0.4">
      <c r="A2" s="1">
        <v>0</v>
      </c>
      <c r="B2" s="2" t="s">
        <v>3</v>
      </c>
      <c r="C2" s="1" t="s">
        <v>4</v>
      </c>
      <c r="E2" s="1" t="str">
        <f>LEFT(B2, SEARCH("(",B2)-1)</f>
        <v>nop</v>
      </c>
    </row>
    <row r="3" spans="1:5" x14ac:dyDescent="0.4">
      <c r="A3" s="1">
        <f>A2+1</f>
        <v>1</v>
      </c>
      <c r="B3" s="2" t="s">
        <v>104</v>
      </c>
      <c r="C3" s="1" t="s">
        <v>196</v>
      </c>
      <c r="E3" s="1" t="str">
        <f t="shared" ref="E3:E62" si="0">LEFT(B3, SEARCH("(",B3)-1)</f>
        <v>ret</v>
      </c>
    </row>
    <row r="4" spans="1:5" x14ac:dyDescent="0.4">
      <c r="A4" s="1">
        <f t="shared" ref="A4:A63" si="1">A3+1</f>
        <v>2</v>
      </c>
      <c r="B4" s="2" t="s">
        <v>6</v>
      </c>
      <c r="C4" s="1" t="s">
        <v>5</v>
      </c>
      <c r="E4" s="1" t="str">
        <f t="shared" si="0"/>
        <v>wait</v>
      </c>
    </row>
    <row r="5" spans="1:5" ht="29.15" x14ac:dyDescent="0.4">
      <c r="A5" s="1">
        <f t="shared" si="1"/>
        <v>3</v>
      </c>
      <c r="B5" s="2" t="s">
        <v>7</v>
      </c>
      <c r="C5" s="1" t="s">
        <v>8</v>
      </c>
      <c r="D5" s="1" t="s">
        <v>10</v>
      </c>
      <c r="E5" s="1" t="str">
        <f t="shared" si="0"/>
        <v>jmp</v>
      </c>
    </row>
    <row r="6" spans="1:5" ht="29.15" x14ac:dyDescent="0.4">
      <c r="A6" s="1">
        <f t="shared" si="1"/>
        <v>4</v>
      </c>
      <c r="B6" s="2" t="s">
        <v>12</v>
      </c>
      <c r="C6" s="1" t="s">
        <v>199</v>
      </c>
      <c r="D6" s="1" t="s">
        <v>11</v>
      </c>
      <c r="E6" s="1" t="str">
        <f t="shared" si="0"/>
        <v>loop</v>
      </c>
    </row>
    <row r="7" spans="1:5" x14ac:dyDescent="0.4">
      <c r="A7" s="1">
        <f t="shared" si="1"/>
        <v>5</v>
      </c>
      <c r="B7" s="2" t="s">
        <v>14</v>
      </c>
      <c r="C7" s="1" t="s">
        <v>13</v>
      </c>
      <c r="E7" s="1" t="str">
        <f t="shared" si="0"/>
        <v>set</v>
      </c>
    </row>
    <row r="8" spans="1:5" x14ac:dyDescent="0.4">
      <c r="A8" s="1">
        <f t="shared" si="1"/>
        <v>6</v>
      </c>
      <c r="B8" s="1" t="s">
        <v>23</v>
      </c>
      <c r="C8" s="1" t="s">
        <v>22</v>
      </c>
      <c r="D8" s="1" t="s">
        <v>24</v>
      </c>
      <c r="E8" s="1" t="str">
        <f t="shared" si="0"/>
        <v>iset</v>
      </c>
    </row>
    <row r="9" spans="1:5" x14ac:dyDescent="0.4">
      <c r="A9" s="1">
        <f t="shared" si="1"/>
        <v>7</v>
      </c>
      <c r="B9" s="2" t="s">
        <v>16</v>
      </c>
      <c r="C9" s="1" t="s">
        <v>17</v>
      </c>
      <c r="D9" s="1" t="s">
        <v>21</v>
      </c>
      <c r="E9" s="1" t="str">
        <f t="shared" si="0"/>
        <v>fset</v>
      </c>
    </row>
    <row r="10" spans="1:5" ht="29.15" x14ac:dyDescent="0.4">
      <c r="A10" s="1">
        <f t="shared" si="1"/>
        <v>8</v>
      </c>
      <c r="B10" s="2" t="s">
        <v>15</v>
      </c>
      <c r="C10" s="1" t="s">
        <v>18</v>
      </c>
      <c r="D10" s="1" t="s">
        <v>19</v>
      </c>
      <c r="E10" s="1" t="str">
        <f t="shared" si="0"/>
        <v>iset_rand_sign</v>
      </c>
    </row>
    <row r="11" spans="1:5" ht="29.15" x14ac:dyDescent="0.4">
      <c r="A11" s="1">
        <f t="shared" si="1"/>
        <v>9</v>
      </c>
      <c r="B11" s="2" t="s">
        <v>20</v>
      </c>
      <c r="C11" s="1" t="s">
        <v>18</v>
      </c>
      <c r="D11" s="1" t="s">
        <v>19</v>
      </c>
      <c r="E11" s="1" t="str">
        <f t="shared" si="0"/>
        <v>fset_rand_sign</v>
      </c>
    </row>
    <row r="12" spans="1:5" x14ac:dyDescent="0.4">
      <c r="A12" s="1">
        <f t="shared" si="1"/>
        <v>10</v>
      </c>
      <c r="B12" s="2" t="s">
        <v>219</v>
      </c>
      <c r="C12" s="1" t="s">
        <v>25</v>
      </c>
      <c r="E12" s="1" t="str">
        <f t="shared" si="0"/>
        <v>iadd</v>
      </c>
    </row>
    <row r="13" spans="1:5" x14ac:dyDescent="0.4">
      <c r="A13" s="1">
        <f t="shared" si="1"/>
        <v>11</v>
      </c>
      <c r="B13" s="2" t="s">
        <v>220</v>
      </c>
      <c r="C13" s="1" t="s">
        <v>26</v>
      </c>
      <c r="E13" s="1" t="str">
        <f t="shared" si="0"/>
        <v>isub</v>
      </c>
    </row>
    <row r="14" spans="1:5" x14ac:dyDescent="0.4">
      <c r="A14" s="1">
        <f t="shared" si="1"/>
        <v>12</v>
      </c>
      <c r="B14" s="2" t="s">
        <v>27</v>
      </c>
      <c r="C14" s="1" t="s">
        <v>28</v>
      </c>
      <c r="E14" s="1" t="str">
        <f t="shared" si="0"/>
        <v>imul</v>
      </c>
    </row>
    <row r="15" spans="1:5" x14ac:dyDescent="0.4">
      <c r="A15" s="1">
        <f t="shared" si="1"/>
        <v>13</v>
      </c>
      <c r="B15" s="2" t="s">
        <v>29</v>
      </c>
      <c r="C15" s="1" t="s">
        <v>30</v>
      </c>
      <c r="D15" s="1" t="s">
        <v>217</v>
      </c>
      <c r="E15" s="1" t="str">
        <f t="shared" si="0"/>
        <v>idiv</v>
      </c>
    </row>
    <row r="16" spans="1:5" x14ac:dyDescent="0.4">
      <c r="A16" s="1">
        <f t="shared" si="1"/>
        <v>14</v>
      </c>
      <c r="B16" s="2" t="s">
        <v>214</v>
      </c>
      <c r="C16" s="1" t="s">
        <v>31</v>
      </c>
      <c r="D16" s="1" t="s">
        <v>216</v>
      </c>
      <c r="E16" s="1" t="str">
        <f t="shared" si="0"/>
        <v>imod</v>
      </c>
    </row>
    <row r="17" spans="1:5" x14ac:dyDescent="0.4">
      <c r="A17" s="1">
        <f t="shared" si="1"/>
        <v>15</v>
      </c>
      <c r="B17" s="2" t="s">
        <v>215</v>
      </c>
      <c r="C17" s="1" t="s">
        <v>33</v>
      </c>
      <c r="D17" s="1" t="s">
        <v>216</v>
      </c>
      <c r="E17" s="1" t="str">
        <f t="shared" si="0"/>
        <v>imod2</v>
      </c>
    </row>
    <row r="18" spans="1:5" x14ac:dyDescent="0.4">
      <c r="A18" s="1">
        <f t="shared" si="1"/>
        <v>16</v>
      </c>
      <c r="B18" s="2" t="s">
        <v>34</v>
      </c>
      <c r="C18" s="1" t="s">
        <v>25</v>
      </c>
      <c r="E18" s="1" t="str">
        <f t="shared" si="0"/>
        <v>fadd</v>
      </c>
    </row>
    <row r="19" spans="1:5" x14ac:dyDescent="0.4">
      <c r="A19" s="1">
        <f t="shared" si="1"/>
        <v>17</v>
      </c>
      <c r="B19" s="2" t="s">
        <v>35</v>
      </c>
      <c r="C19" s="1" t="s">
        <v>26</v>
      </c>
      <c r="E19" s="1" t="str">
        <f t="shared" si="0"/>
        <v>fsub</v>
      </c>
    </row>
    <row r="20" spans="1:5" x14ac:dyDescent="0.4">
      <c r="A20" s="1">
        <f t="shared" si="1"/>
        <v>18</v>
      </c>
      <c r="B20" s="2" t="s">
        <v>36</v>
      </c>
      <c r="C20" s="1" t="s">
        <v>28</v>
      </c>
      <c r="E20" s="1" t="str">
        <f t="shared" si="0"/>
        <v>fmul</v>
      </c>
    </row>
    <row r="21" spans="1:5" x14ac:dyDescent="0.4">
      <c r="A21" s="1">
        <f t="shared" si="1"/>
        <v>19</v>
      </c>
      <c r="B21" s="2" t="s">
        <v>37</v>
      </c>
      <c r="C21" s="1" t="s">
        <v>30</v>
      </c>
      <c r="E21" s="1" t="str">
        <f t="shared" si="0"/>
        <v>fdiv</v>
      </c>
    </row>
    <row r="22" spans="1:5" x14ac:dyDescent="0.4">
      <c r="A22" s="1">
        <f t="shared" si="1"/>
        <v>20</v>
      </c>
      <c r="B22" s="2" t="s">
        <v>38</v>
      </c>
      <c r="C22" s="1" t="s">
        <v>31</v>
      </c>
      <c r="D22" s="1" t="s">
        <v>39</v>
      </c>
      <c r="E22" s="1" t="str">
        <f t="shared" si="0"/>
        <v>fmod</v>
      </c>
    </row>
    <row r="23" spans="1:5" x14ac:dyDescent="0.4">
      <c r="A23" s="1">
        <f t="shared" si="1"/>
        <v>21</v>
      </c>
      <c r="B23" s="2" t="s">
        <v>40</v>
      </c>
      <c r="C23" s="1" t="s">
        <v>33</v>
      </c>
      <c r="D23" s="1" t="s">
        <v>39</v>
      </c>
      <c r="E23" s="1" t="str">
        <f t="shared" si="0"/>
        <v>fmod2</v>
      </c>
    </row>
    <row r="24" spans="1:5" ht="29.15" x14ac:dyDescent="0.4">
      <c r="A24" s="1">
        <f t="shared" si="1"/>
        <v>22</v>
      </c>
      <c r="B24" s="2" t="s">
        <v>41</v>
      </c>
      <c r="C24" s="1" t="s">
        <v>42</v>
      </c>
      <c r="E24" s="1" t="str">
        <f t="shared" si="0"/>
        <v>iset_add</v>
      </c>
    </row>
    <row r="25" spans="1:5" ht="29.15" x14ac:dyDescent="0.4">
      <c r="A25" s="1">
        <f t="shared" si="1"/>
        <v>23</v>
      </c>
      <c r="B25" s="2" t="s">
        <v>43</v>
      </c>
      <c r="C25" s="1" t="s">
        <v>44</v>
      </c>
      <c r="E25" s="1" t="str">
        <f t="shared" si="0"/>
        <v>iset_sub</v>
      </c>
    </row>
    <row r="26" spans="1:5" ht="29.15" x14ac:dyDescent="0.4">
      <c r="A26" s="1">
        <f t="shared" si="1"/>
        <v>24</v>
      </c>
      <c r="B26" s="2" t="s">
        <v>45</v>
      </c>
      <c r="C26" s="1" t="s">
        <v>46</v>
      </c>
      <c r="E26" s="1" t="str">
        <f t="shared" si="0"/>
        <v>iset_mul</v>
      </c>
    </row>
    <row r="27" spans="1:5" ht="29.15" x14ac:dyDescent="0.4">
      <c r="A27" s="1">
        <f t="shared" si="1"/>
        <v>25</v>
      </c>
      <c r="B27" s="2" t="s">
        <v>47</v>
      </c>
      <c r="C27" s="1" t="s">
        <v>48</v>
      </c>
      <c r="D27" s="1" t="s">
        <v>49</v>
      </c>
      <c r="E27" s="1" t="str">
        <f t="shared" si="0"/>
        <v>iset_div</v>
      </c>
    </row>
    <row r="28" spans="1:5" ht="29.15" x14ac:dyDescent="0.4">
      <c r="A28" s="1">
        <f t="shared" si="1"/>
        <v>26</v>
      </c>
      <c r="B28" s="2" t="s">
        <v>51</v>
      </c>
      <c r="C28" s="1" t="s">
        <v>50</v>
      </c>
      <c r="D28" s="1" t="s">
        <v>32</v>
      </c>
      <c r="E28" s="1" t="str">
        <f t="shared" si="0"/>
        <v>iset_mod</v>
      </c>
    </row>
    <row r="29" spans="1:5" ht="29.15" x14ac:dyDescent="0.4">
      <c r="A29" s="1">
        <f t="shared" si="1"/>
        <v>27</v>
      </c>
      <c r="B29" s="2" t="s">
        <v>52</v>
      </c>
      <c r="C29" s="1" t="s">
        <v>42</v>
      </c>
      <c r="E29" s="1" t="str">
        <f t="shared" si="0"/>
        <v>fset_add</v>
      </c>
    </row>
    <row r="30" spans="1:5" ht="29.15" x14ac:dyDescent="0.4">
      <c r="A30" s="1">
        <f t="shared" si="1"/>
        <v>28</v>
      </c>
      <c r="B30" s="2" t="s">
        <v>53</v>
      </c>
      <c r="C30" s="1" t="s">
        <v>44</v>
      </c>
      <c r="E30" s="1" t="str">
        <f t="shared" si="0"/>
        <v>fset_sub</v>
      </c>
    </row>
    <row r="31" spans="1:5" ht="29.15" x14ac:dyDescent="0.4">
      <c r="A31" s="1">
        <f t="shared" si="1"/>
        <v>29</v>
      </c>
      <c r="B31" s="2" t="s">
        <v>54</v>
      </c>
      <c r="C31" s="1" t="s">
        <v>46</v>
      </c>
      <c r="E31" s="1" t="str">
        <f t="shared" si="0"/>
        <v>fset_mul</v>
      </c>
    </row>
    <row r="32" spans="1:5" ht="29.15" x14ac:dyDescent="0.4">
      <c r="A32" s="1">
        <f t="shared" si="1"/>
        <v>30</v>
      </c>
      <c r="B32" s="2" t="s">
        <v>55</v>
      </c>
      <c r="C32" s="1" t="s">
        <v>48</v>
      </c>
      <c r="E32" s="1" t="str">
        <f t="shared" si="0"/>
        <v>fset_div</v>
      </c>
    </row>
    <row r="33" spans="1:5" ht="29.15" x14ac:dyDescent="0.4">
      <c r="A33" s="1">
        <f t="shared" si="1"/>
        <v>31</v>
      </c>
      <c r="B33" s="2" t="s">
        <v>56</v>
      </c>
      <c r="C33" s="1" t="s">
        <v>50</v>
      </c>
      <c r="D33" s="1" t="s">
        <v>39</v>
      </c>
      <c r="E33" s="1" t="str">
        <f t="shared" si="0"/>
        <v>fset_mod</v>
      </c>
    </row>
    <row r="34" spans="1:5" x14ac:dyDescent="0.4">
      <c r="A34" s="1">
        <f t="shared" si="1"/>
        <v>32</v>
      </c>
      <c r="B34" s="2" t="s">
        <v>57</v>
      </c>
      <c r="C34" s="1" t="s">
        <v>58</v>
      </c>
      <c r="D34" s="1" t="s">
        <v>59</v>
      </c>
      <c r="E34" s="1" t="str">
        <f t="shared" si="0"/>
        <v>iinc</v>
      </c>
    </row>
    <row r="35" spans="1:5" x14ac:dyDescent="0.4">
      <c r="A35" s="1">
        <f t="shared" si="1"/>
        <v>33</v>
      </c>
      <c r="B35" s="2" t="s">
        <v>60</v>
      </c>
      <c r="C35" s="1" t="s">
        <v>58</v>
      </c>
      <c r="D35" s="1" t="s">
        <v>59</v>
      </c>
      <c r="E35" s="1" t="str">
        <f t="shared" si="0"/>
        <v>finc</v>
      </c>
    </row>
    <row r="36" spans="1:5" x14ac:dyDescent="0.4">
      <c r="A36" s="1">
        <f t="shared" si="1"/>
        <v>34</v>
      </c>
      <c r="B36" s="2" t="s">
        <v>64</v>
      </c>
      <c r="C36" s="1" t="s">
        <v>61</v>
      </c>
      <c r="D36" s="1" t="s">
        <v>62</v>
      </c>
      <c r="E36" s="1" t="str">
        <f t="shared" si="0"/>
        <v>idec</v>
      </c>
    </row>
    <row r="37" spans="1:5" x14ac:dyDescent="0.4">
      <c r="A37" s="1">
        <f t="shared" si="1"/>
        <v>35</v>
      </c>
      <c r="B37" s="2" t="s">
        <v>63</v>
      </c>
      <c r="C37" s="1" t="s">
        <v>61</v>
      </c>
      <c r="D37" s="1" t="s">
        <v>62</v>
      </c>
      <c r="E37" s="1" t="str">
        <f t="shared" si="0"/>
        <v>fdec</v>
      </c>
    </row>
    <row r="38" spans="1:5" ht="29.15" x14ac:dyDescent="0.4">
      <c r="A38" s="1">
        <f t="shared" si="1"/>
        <v>36</v>
      </c>
      <c r="B38" s="2" t="s">
        <v>65</v>
      </c>
      <c r="C38" s="1" t="s">
        <v>66</v>
      </c>
      <c r="D38" s="1" t="s">
        <v>67</v>
      </c>
      <c r="E38" s="1" t="str">
        <f t="shared" si="0"/>
        <v>fset_sin</v>
      </c>
    </row>
    <row r="39" spans="1:5" ht="29.15" x14ac:dyDescent="0.4">
      <c r="A39" s="1">
        <f t="shared" si="1"/>
        <v>37</v>
      </c>
      <c r="B39" s="2" t="s">
        <v>68</v>
      </c>
      <c r="C39" s="1" t="s">
        <v>69</v>
      </c>
      <c r="D39" s="1" t="s">
        <v>67</v>
      </c>
      <c r="E39" s="1" t="str">
        <f t="shared" si="0"/>
        <v>fset_cos</v>
      </c>
    </row>
    <row r="40" spans="1:5" ht="29.15" x14ac:dyDescent="0.4">
      <c r="A40" s="1">
        <f t="shared" si="1"/>
        <v>38</v>
      </c>
      <c r="B40" s="2" t="s">
        <v>70</v>
      </c>
      <c r="C40" s="1" t="s">
        <v>71</v>
      </c>
      <c r="D40" s="1" t="s">
        <v>67</v>
      </c>
      <c r="E40" s="1" t="str">
        <f t="shared" si="0"/>
        <v>fset_tan</v>
      </c>
    </row>
    <row r="41" spans="1:5" ht="43.75" x14ac:dyDescent="0.4">
      <c r="A41" s="1">
        <f t="shared" si="1"/>
        <v>39</v>
      </c>
      <c r="B41" s="2" t="s">
        <v>72</v>
      </c>
      <c r="C41" s="1" t="s">
        <v>73</v>
      </c>
      <c r="D41" s="1" t="s">
        <v>67</v>
      </c>
      <c r="E41" s="1" t="str">
        <f t="shared" si="0"/>
        <v>fset_angle</v>
      </c>
    </row>
    <row r="42" spans="1:5" ht="43.75" x14ac:dyDescent="0.4">
      <c r="A42" s="1">
        <f t="shared" si="1"/>
        <v>40</v>
      </c>
      <c r="B42" s="2" t="s">
        <v>75</v>
      </c>
      <c r="C42" s="1" t="s">
        <v>74</v>
      </c>
      <c r="D42" s="1" t="s">
        <v>231</v>
      </c>
      <c r="E42" s="1" t="str">
        <f t="shared" si="0"/>
        <v>finterp</v>
      </c>
    </row>
    <row r="43" spans="1:5" x14ac:dyDescent="0.4">
      <c r="A43" s="1">
        <f t="shared" si="1"/>
        <v>41</v>
      </c>
      <c r="B43" s="2" t="s">
        <v>76</v>
      </c>
      <c r="C43" s="1" t="s">
        <v>232</v>
      </c>
      <c r="D43" s="1" t="s">
        <v>67</v>
      </c>
      <c r="E43" s="1" t="str">
        <f t="shared" si="0"/>
        <v>normRad</v>
      </c>
    </row>
    <row r="44" spans="1:5" ht="29.15" x14ac:dyDescent="0.4">
      <c r="A44" s="1">
        <f t="shared" si="1"/>
        <v>42</v>
      </c>
      <c r="B44" s="2" t="s">
        <v>77</v>
      </c>
      <c r="C44" s="1" t="s">
        <v>78</v>
      </c>
      <c r="D44" s="1" t="s">
        <v>67</v>
      </c>
      <c r="E44" s="1" t="str">
        <f t="shared" si="0"/>
        <v>mathCirclePos</v>
      </c>
    </row>
    <row r="45" spans="1:5" ht="43.75" x14ac:dyDescent="0.4">
      <c r="A45" s="1">
        <f t="shared" si="1"/>
        <v>43</v>
      </c>
      <c r="B45" s="2" t="s">
        <v>79</v>
      </c>
      <c r="C45" s="1" t="s">
        <v>80</v>
      </c>
      <c r="D45" s="1" t="s">
        <v>67</v>
      </c>
      <c r="E45" s="1" t="str">
        <f t="shared" si="0"/>
        <v>mathDistance</v>
      </c>
    </row>
    <row r="46" spans="1:5" ht="29.15" x14ac:dyDescent="0.4">
      <c r="A46" s="1">
        <f t="shared" si="1"/>
        <v>44</v>
      </c>
      <c r="B46" s="2" t="s">
        <v>83</v>
      </c>
      <c r="C46" s="1" t="s">
        <v>81</v>
      </c>
      <c r="D46" s="1" t="s">
        <v>82</v>
      </c>
      <c r="E46" s="1" t="str">
        <f t="shared" si="0"/>
        <v>jmp_equ</v>
      </c>
    </row>
    <row r="47" spans="1:5" ht="43.75" x14ac:dyDescent="0.4">
      <c r="A47" s="1">
        <f t="shared" si="1"/>
        <v>45</v>
      </c>
      <c r="B47" s="2" t="s">
        <v>84</v>
      </c>
      <c r="C47" s="1" t="s">
        <v>224</v>
      </c>
      <c r="D47" s="1" t="s">
        <v>85</v>
      </c>
      <c r="E47" s="1" t="str">
        <f t="shared" si="0"/>
        <v>jmp_equ_f</v>
      </c>
    </row>
    <row r="48" spans="1:5" ht="29.15" x14ac:dyDescent="0.4">
      <c r="A48" s="1">
        <f t="shared" si="1"/>
        <v>46</v>
      </c>
      <c r="B48" s="2" t="s">
        <v>86</v>
      </c>
      <c r="C48" s="1" t="s">
        <v>87</v>
      </c>
      <c r="D48" s="1" t="s">
        <v>88</v>
      </c>
      <c r="E48" s="1" t="str">
        <f t="shared" si="0"/>
        <v>jmp_neq</v>
      </c>
    </row>
    <row r="49" spans="1:5" ht="43.75" x14ac:dyDescent="0.4">
      <c r="A49" s="1">
        <f t="shared" si="1"/>
        <v>47</v>
      </c>
      <c r="B49" s="2" t="s">
        <v>89</v>
      </c>
      <c r="C49" s="1" t="s">
        <v>221</v>
      </c>
      <c r="D49" s="1" t="s">
        <v>90</v>
      </c>
      <c r="E49" s="1" t="str">
        <f t="shared" si="0"/>
        <v>jmp_neq_f</v>
      </c>
    </row>
    <row r="50" spans="1:5" ht="29.15" x14ac:dyDescent="0.4">
      <c r="A50" s="1">
        <f t="shared" si="1"/>
        <v>48</v>
      </c>
      <c r="B50" s="2" t="s">
        <v>91</v>
      </c>
      <c r="C50" s="1" t="s">
        <v>92</v>
      </c>
      <c r="D50" s="1" t="s">
        <v>93</v>
      </c>
      <c r="E50" s="1" t="str">
        <f t="shared" si="0"/>
        <v>jmp_lt</v>
      </c>
    </row>
    <row r="51" spans="1:5" ht="29.15" x14ac:dyDescent="0.4">
      <c r="A51" s="1">
        <f t="shared" si="1"/>
        <v>49</v>
      </c>
      <c r="B51" s="2" t="s">
        <v>200</v>
      </c>
      <c r="C51" s="1" t="s">
        <v>92</v>
      </c>
      <c r="D51" s="1" t="s">
        <v>93</v>
      </c>
      <c r="E51" s="1" t="str">
        <f t="shared" si="0"/>
        <v>jmp_lt_f</v>
      </c>
    </row>
    <row r="52" spans="1:5" ht="29.15" x14ac:dyDescent="0.4">
      <c r="A52" s="1">
        <f t="shared" si="1"/>
        <v>50</v>
      </c>
      <c r="B52" s="2" t="s">
        <v>94</v>
      </c>
      <c r="C52" s="1" t="s">
        <v>95</v>
      </c>
      <c r="D52" s="1" t="s">
        <v>93</v>
      </c>
      <c r="E52" s="1" t="str">
        <f t="shared" si="0"/>
        <v>jmp_lte</v>
      </c>
    </row>
    <row r="53" spans="1:5" ht="43.75" x14ac:dyDescent="0.4">
      <c r="A53" s="1">
        <f t="shared" si="1"/>
        <v>51</v>
      </c>
      <c r="B53" s="2" t="s">
        <v>96</v>
      </c>
      <c r="C53" s="1" t="s">
        <v>225</v>
      </c>
      <c r="D53" s="1" t="s">
        <v>93</v>
      </c>
      <c r="E53" s="1" t="str">
        <f t="shared" si="0"/>
        <v>jmp_lte_f</v>
      </c>
    </row>
    <row r="54" spans="1:5" ht="29.15" x14ac:dyDescent="0.4">
      <c r="A54" s="1">
        <f t="shared" si="1"/>
        <v>52</v>
      </c>
      <c r="B54" s="2" t="s">
        <v>97</v>
      </c>
      <c r="C54" s="1" t="s">
        <v>98</v>
      </c>
      <c r="D54" s="1" t="s">
        <v>93</v>
      </c>
      <c r="E54" s="1" t="str">
        <f t="shared" si="0"/>
        <v>jmp_gt</v>
      </c>
    </row>
    <row r="55" spans="1:5" ht="29.15" x14ac:dyDescent="0.4">
      <c r="A55" s="1">
        <f t="shared" si="1"/>
        <v>53</v>
      </c>
      <c r="B55" s="2" t="s">
        <v>223</v>
      </c>
      <c r="C55" s="1" t="s">
        <v>98</v>
      </c>
      <c r="D55" s="1" t="s">
        <v>93</v>
      </c>
      <c r="E55" s="1" t="str">
        <f t="shared" si="0"/>
        <v>jmp_gt_f</v>
      </c>
    </row>
    <row r="56" spans="1:5" ht="29.15" x14ac:dyDescent="0.4">
      <c r="A56" s="1">
        <f t="shared" si="1"/>
        <v>54</v>
      </c>
      <c r="B56" s="2" t="s">
        <v>99</v>
      </c>
      <c r="C56" s="1" t="s">
        <v>101</v>
      </c>
      <c r="D56" s="1" t="s">
        <v>93</v>
      </c>
      <c r="E56" s="1" t="str">
        <f t="shared" si="0"/>
        <v>jmp_gte</v>
      </c>
    </row>
    <row r="57" spans="1:5" ht="43.75" x14ac:dyDescent="0.4">
      <c r="A57" s="1">
        <f t="shared" si="1"/>
        <v>55</v>
      </c>
      <c r="B57" s="2" t="s">
        <v>100</v>
      </c>
      <c r="C57" s="1" t="s">
        <v>222</v>
      </c>
      <c r="D57" s="1" t="s">
        <v>93</v>
      </c>
      <c r="E57" s="1" t="str">
        <f t="shared" si="0"/>
        <v>jmp_gte_f</v>
      </c>
    </row>
    <row r="58" spans="1:5" x14ac:dyDescent="0.4">
      <c r="A58" s="1">
        <f t="shared" si="1"/>
        <v>56</v>
      </c>
      <c r="B58" s="2" t="s">
        <v>102</v>
      </c>
      <c r="C58" s="1" t="s">
        <v>103</v>
      </c>
      <c r="D58" s="1" t="s">
        <v>201</v>
      </c>
      <c r="E58" s="1" t="str">
        <f t="shared" si="0"/>
        <v>call</v>
      </c>
    </row>
    <row r="59" spans="1:5" x14ac:dyDescent="0.4">
      <c r="A59" s="1">
        <f t="shared" si="1"/>
        <v>57</v>
      </c>
      <c r="B59" s="2" t="s">
        <v>106</v>
      </c>
      <c r="C59" s="1" t="s">
        <v>107</v>
      </c>
      <c r="E59" s="1" t="str">
        <f t="shared" si="0"/>
        <v>yeild</v>
      </c>
    </row>
    <row r="60" spans="1:5" ht="29.15" x14ac:dyDescent="0.4">
      <c r="A60" s="1">
        <f t="shared" si="1"/>
        <v>58</v>
      </c>
      <c r="B60" s="2" t="s">
        <v>197</v>
      </c>
      <c r="C60" s="1" t="s">
        <v>105</v>
      </c>
      <c r="D60" s="1" t="s">
        <v>198</v>
      </c>
      <c r="E60" s="1" t="str">
        <f t="shared" si="0"/>
        <v>print</v>
      </c>
    </row>
    <row r="61" spans="1:5" ht="131.15" x14ac:dyDescent="0.4">
      <c r="A61" s="1">
        <f t="shared" si="1"/>
        <v>59</v>
      </c>
      <c r="B61" s="2" t="s">
        <v>202</v>
      </c>
      <c r="C61" s="1" t="s">
        <v>203</v>
      </c>
      <c r="D61" s="1" t="s">
        <v>204</v>
      </c>
      <c r="E61" s="1" t="str">
        <f t="shared" si="0"/>
        <v>set_ptr</v>
      </c>
    </row>
    <row r="62" spans="1:5" ht="29.15" x14ac:dyDescent="0.4">
      <c r="A62" s="1">
        <f t="shared" si="1"/>
        <v>60</v>
      </c>
      <c r="B62" s="2" t="s">
        <v>228</v>
      </c>
      <c r="C62" s="1" t="s">
        <v>229</v>
      </c>
      <c r="D62" s="1" t="s">
        <v>230</v>
      </c>
      <c r="E62" s="1" t="str">
        <f t="shared" si="0"/>
        <v>assert_ptr</v>
      </c>
    </row>
    <row r="63" spans="1:5" ht="29.15" x14ac:dyDescent="0.4">
      <c r="A63" s="1">
        <f t="shared" si="1"/>
        <v>61</v>
      </c>
      <c r="B63" s="2" t="s">
        <v>226</v>
      </c>
      <c r="C63" s="1" t="s">
        <v>227</v>
      </c>
      <c r="E63" s="1" t="str">
        <f>LEFT(B63, SEARCH("(",B63)-1)</f>
        <v>set_priority</v>
      </c>
    </row>
  </sheetData>
  <phoneticPr fontId="2" type="noConversion"/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1E053C-57B6-44AA-AEA1-0EA61C476CFA}">
  <sheetPr codeName="Sheet2"/>
  <dimension ref="A1:G74"/>
  <sheetViews>
    <sheetView topLeftCell="A4" workbookViewId="0">
      <selection activeCell="G3" sqref="G3:G60"/>
    </sheetView>
  </sheetViews>
  <sheetFormatPr defaultRowHeight="14.6" x14ac:dyDescent="0.4"/>
  <cols>
    <col min="1" max="1" width="5.69140625" style="1" customWidth="1"/>
    <col min="2" max="2" width="9.23046875" style="4"/>
    <col min="3" max="3" width="9.23046875" style="3" customWidth="1"/>
    <col min="4" max="5" width="9.23046875" style="3"/>
    <col min="6" max="6" width="75.69140625" style="3" customWidth="1"/>
    <col min="7" max="7" width="27.84375" style="3" customWidth="1"/>
    <col min="8" max="16384" width="9.23046875" style="3"/>
  </cols>
  <sheetData>
    <row r="1" spans="1:7" x14ac:dyDescent="0.4">
      <c r="A1" s="1" t="s">
        <v>0</v>
      </c>
      <c r="B1" s="3" t="s">
        <v>108</v>
      </c>
      <c r="C1" s="3" t="s">
        <v>117</v>
      </c>
      <c r="D1" s="3" t="s">
        <v>118</v>
      </c>
      <c r="E1" s="3" t="s">
        <v>119</v>
      </c>
      <c r="F1" s="3" t="s">
        <v>1</v>
      </c>
      <c r="G1" s="3" t="s">
        <v>205</v>
      </c>
    </row>
    <row r="2" spans="1:7" x14ac:dyDescent="0.4">
      <c r="A2" s="5"/>
      <c r="B2" s="6"/>
      <c r="C2" s="7"/>
      <c r="D2" s="7"/>
      <c r="E2" s="7"/>
      <c r="F2" s="7" t="s">
        <v>159</v>
      </c>
    </row>
    <row r="3" spans="1:7" x14ac:dyDescent="0.4">
      <c r="A3" s="1">
        <v>1</v>
      </c>
      <c r="B3" s="4" t="s">
        <v>109</v>
      </c>
      <c r="C3" s="3" t="s">
        <v>148</v>
      </c>
      <c r="D3" s="3" t="s">
        <v>149</v>
      </c>
      <c r="E3" s="3" t="s">
        <v>120</v>
      </c>
      <c r="F3" s="3" t="s">
        <v>121</v>
      </c>
      <c r="G3" s="3" t="str">
        <f>_xlfn.CONCAT("bind ", B3, " ", A3, ";")</f>
        <v>bind I0 1;</v>
      </c>
    </row>
    <row r="4" spans="1:7" x14ac:dyDescent="0.4">
      <c r="A4" s="1">
        <v>2</v>
      </c>
      <c r="B4" s="4" t="s">
        <v>110</v>
      </c>
      <c r="C4" s="3" t="s">
        <v>148</v>
      </c>
      <c r="D4" s="3" t="s">
        <v>149</v>
      </c>
      <c r="E4" s="3" t="s">
        <v>120</v>
      </c>
      <c r="F4" s="3" t="s">
        <v>121</v>
      </c>
      <c r="G4" s="3" t="str">
        <f t="shared" ref="G4:G58" si="0">_xlfn.CONCAT("bind ", B4, " ", A4, ";")</f>
        <v>bind I1 2;</v>
      </c>
    </row>
    <row r="5" spans="1:7" x14ac:dyDescent="0.4">
      <c r="A5" s="1">
        <f t="shared" ref="A5:A58" si="1">A4+1</f>
        <v>3</v>
      </c>
      <c r="B5" s="4" t="s">
        <v>111</v>
      </c>
      <c r="C5" s="3" t="s">
        <v>148</v>
      </c>
      <c r="D5" s="3" t="s">
        <v>149</v>
      </c>
      <c r="E5" s="3" t="s">
        <v>120</v>
      </c>
      <c r="F5" s="3" t="s">
        <v>121</v>
      </c>
      <c r="G5" s="3" t="str">
        <f t="shared" si="0"/>
        <v>bind I2 3;</v>
      </c>
    </row>
    <row r="6" spans="1:7" x14ac:dyDescent="0.4">
      <c r="A6" s="1">
        <f t="shared" si="1"/>
        <v>4</v>
      </c>
      <c r="B6" s="4" t="s">
        <v>112</v>
      </c>
      <c r="C6" s="3" t="s">
        <v>148</v>
      </c>
      <c r="D6" s="3" t="s">
        <v>149</v>
      </c>
      <c r="E6" s="3" t="s">
        <v>120</v>
      </c>
      <c r="F6" s="3" t="s">
        <v>121</v>
      </c>
      <c r="G6" s="3" t="str">
        <f t="shared" si="0"/>
        <v>bind I3 4;</v>
      </c>
    </row>
    <row r="7" spans="1:7" x14ac:dyDescent="0.4">
      <c r="A7" s="1">
        <f t="shared" si="1"/>
        <v>5</v>
      </c>
      <c r="B7" s="4" t="s">
        <v>113</v>
      </c>
      <c r="C7" s="3" t="s">
        <v>148</v>
      </c>
      <c r="D7" s="3" t="s">
        <v>149</v>
      </c>
      <c r="E7" s="3" t="s">
        <v>120</v>
      </c>
      <c r="F7" s="3" t="s">
        <v>121</v>
      </c>
      <c r="G7" s="3" t="str">
        <f t="shared" si="0"/>
        <v>bind I4 5;</v>
      </c>
    </row>
    <row r="8" spans="1:7" x14ac:dyDescent="0.4">
      <c r="A8" s="1">
        <f t="shared" si="1"/>
        <v>6</v>
      </c>
      <c r="B8" s="4" t="s">
        <v>114</v>
      </c>
      <c r="C8" s="3" t="s">
        <v>148</v>
      </c>
      <c r="D8" s="3" t="s">
        <v>149</v>
      </c>
      <c r="E8" s="3" t="s">
        <v>120</v>
      </c>
      <c r="F8" s="3" t="s">
        <v>121</v>
      </c>
      <c r="G8" s="3" t="str">
        <f t="shared" si="0"/>
        <v>bind I5 6;</v>
      </c>
    </row>
    <row r="9" spans="1:7" x14ac:dyDescent="0.4">
      <c r="A9" s="1">
        <f t="shared" si="1"/>
        <v>7</v>
      </c>
      <c r="B9" s="4" t="s">
        <v>115</v>
      </c>
      <c r="C9" s="3" t="s">
        <v>148</v>
      </c>
      <c r="D9" s="3" t="s">
        <v>149</v>
      </c>
      <c r="E9" s="3" t="s">
        <v>120</v>
      </c>
      <c r="F9" s="3" t="s">
        <v>121</v>
      </c>
      <c r="G9" s="3" t="str">
        <f t="shared" si="0"/>
        <v>bind I6 7;</v>
      </c>
    </row>
    <row r="10" spans="1:7" x14ac:dyDescent="0.4">
      <c r="A10" s="1">
        <f t="shared" si="1"/>
        <v>8</v>
      </c>
      <c r="B10" s="4" t="s">
        <v>116</v>
      </c>
      <c r="C10" s="3" t="s">
        <v>148</v>
      </c>
      <c r="D10" s="3" t="s">
        <v>149</v>
      </c>
      <c r="E10" s="3" t="s">
        <v>120</v>
      </c>
      <c r="F10" s="3" t="s">
        <v>121</v>
      </c>
      <c r="G10" s="3" t="str">
        <f t="shared" si="0"/>
        <v>bind I7 8;</v>
      </c>
    </row>
    <row r="11" spans="1:7" x14ac:dyDescent="0.4">
      <c r="A11" s="1">
        <f t="shared" si="1"/>
        <v>9</v>
      </c>
      <c r="B11" s="4" t="s">
        <v>122</v>
      </c>
      <c r="C11" s="3" t="s">
        <v>148</v>
      </c>
      <c r="D11" s="3" t="s">
        <v>149</v>
      </c>
      <c r="E11" s="3" t="s">
        <v>120</v>
      </c>
      <c r="F11" s="3" t="s">
        <v>123</v>
      </c>
      <c r="G11" s="3" t="str">
        <f t="shared" si="0"/>
        <v>bind LI0 9;</v>
      </c>
    </row>
    <row r="12" spans="1:7" x14ac:dyDescent="0.4">
      <c r="A12" s="1">
        <f t="shared" si="1"/>
        <v>10</v>
      </c>
      <c r="B12" s="4" t="s">
        <v>124</v>
      </c>
      <c r="C12" s="3" t="s">
        <v>148</v>
      </c>
      <c r="D12" s="3" t="s">
        <v>149</v>
      </c>
      <c r="E12" s="3" t="s">
        <v>120</v>
      </c>
      <c r="F12" s="3" t="s">
        <v>123</v>
      </c>
      <c r="G12" s="3" t="str">
        <f t="shared" si="0"/>
        <v>bind LI1 10;</v>
      </c>
    </row>
    <row r="13" spans="1:7" x14ac:dyDescent="0.4">
      <c r="A13" s="1">
        <f t="shared" si="1"/>
        <v>11</v>
      </c>
      <c r="B13" s="4" t="s">
        <v>125</v>
      </c>
      <c r="C13" s="3" t="s">
        <v>148</v>
      </c>
      <c r="D13" s="3" t="s">
        <v>149</v>
      </c>
      <c r="E13" s="3" t="s">
        <v>120</v>
      </c>
      <c r="F13" s="3" t="s">
        <v>123</v>
      </c>
      <c r="G13" s="3" t="str">
        <f t="shared" si="0"/>
        <v>bind LI2 11;</v>
      </c>
    </row>
    <row r="14" spans="1:7" x14ac:dyDescent="0.4">
      <c r="A14" s="1">
        <f t="shared" si="1"/>
        <v>12</v>
      </c>
      <c r="B14" s="4" t="s">
        <v>126</v>
      </c>
      <c r="C14" s="3" t="s">
        <v>148</v>
      </c>
      <c r="D14" s="3" t="s">
        <v>149</v>
      </c>
      <c r="E14" s="3" t="s">
        <v>120</v>
      </c>
      <c r="F14" s="3" t="s">
        <v>123</v>
      </c>
      <c r="G14" s="3" t="str">
        <f t="shared" si="0"/>
        <v>bind LI3 12;</v>
      </c>
    </row>
    <row r="15" spans="1:7" x14ac:dyDescent="0.4">
      <c r="A15" s="1">
        <f t="shared" si="1"/>
        <v>13</v>
      </c>
      <c r="B15" s="4" t="s">
        <v>127</v>
      </c>
      <c r="C15" s="3" t="s">
        <v>148</v>
      </c>
      <c r="D15" s="3" t="s">
        <v>149</v>
      </c>
      <c r="E15" s="3" t="s">
        <v>120</v>
      </c>
      <c r="F15" s="3" t="s">
        <v>123</v>
      </c>
      <c r="G15" s="3" t="str">
        <f t="shared" si="0"/>
        <v>bind LI4 13;</v>
      </c>
    </row>
    <row r="16" spans="1:7" x14ac:dyDescent="0.4">
      <c r="A16" s="1">
        <f t="shared" si="1"/>
        <v>14</v>
      </c>
      <c r="B16" s="4" t="s">
        <v>128</v>
      </c>
      <c r="C16" s="3" t="s">
        <v>148</v>
      </c>
      <c r="D16" s="3" t="s">
        <v>149</v>
      </c>
      <c r="E16" s="3" t="s">
        <v>120</v>
      </c>
      <c r="F16" s="3" t="s">
        <v>123</v>
      </c>
      <c r="G16" s="3" t="str">
        <f t="shared" si="0"/>
        <v>bind LI5 14;</v>
      </c>
    </row>
    <row r="17" spans="1:7" x14ac:dyDescent="0.4">
      <c r="A17" s="1">
        <f t="shared" si="1"/>
        <v>15</v>
      </c>
      <c r="B17" s="4" t="s">
        <v>129</v>
      </c>
      <c r="C17" s="3" t="s">
        <v>148</v>
      </c>
      <c r="D17" s="3" t="s">
        <v>149</v>
      </c>
      <c r="E17" s="3" t="s">
        <v>120</v>
      </c>
      <c r="F17" s="3" t="s">
        <v>123</v>
      </c>
      <c r="G17" s="3" t="str">
        <f t="shared" si="0"/>
        <v>bind LI6 15;</v>
      </c>
    </row>
    <row r="18" spans="1:7" x14ac:dyDescent="0.4">
      <c r="A18" s="1">
        <f t="shared" si="1"/>
        <v>16</v>
      </c>
      <c r="B18" s="4" t="s">
        <v>130</v>
      </c>
      <c r="C18" s="3" t="s">
        <v>148</v>
      </c>
      <c r="D18" s="3" t="s">
        <v>149</v>
      </c>
      <c r="E18" s="3" t="s">
        <v>120</v>
      </c>
      <c r="F18" s="3" t="s">
        <v>123</v>
      </c>
      <c r="G18" s="3" t="str">
        <f t="shared" si="0"/>
        <v>bind LI7 16;</v>
      </c>
    </row>
    <row r="19" spans="1:7" x14ac:dyDescent="0.4">
      <c r="A19" s="1">
        <f t="shared" si="1"/>
        <v>17</v>
      </c>
      <c r="B19" s="4" t="s">
        <v>131</v>
      </c>
      <c r="C19" s="3" t="s">
        <v>148</v>
      </c>
      <c r="D19" s="3" t="s">
        <v>149</v>
      </c>
      <c r="E19" s="3" t="s">
        <v>132</v>
      </c>
      <c r="F19" s="3" t="s">
        <v>121</v>
      </c>
      <c r="G19" s="3" t="str">
        <f t="shared" si="0"/>
        <v>bind F0 17;</v>
      </c>
    </row>
    <row r="20" spans="1:7" x14ac:dyDescent="0.4">
      <c r="A20" s="1">
        <f t="shared" si="1"/>
        <v>18</v>
      </c>
      <c r="B20" s="4" t="s">
        <v>133</v>
      </c>
      <c r="C20" s="3" t="s">
        <v>148</v>
      </c>
      <c r="D20" s="3" t="s">
        <v>149</v>
      </c>
      <c r="E20" s="3" t="s">
        <v>132</v>
      </c>
      <c r="F20" s="3" t="s">
        <v>121</v>
      </c>
      <c r="G20" s="3" t="str">
        <f t="shared" si="0"/>
        <v>bind F1 18;</v>
      </c>
    </row>
    <row r="21" spans="1:7" x14ac:dyDescent="0.4">
      <c r="A21" s="1">
        <f t="shared" si="1"/>
        <v>19</v>
      </c>
      <c r="B21" s="4" t="s">
        <v>134</v>
      </c>
      <c r="C21" s="3" t="s">
        <v>148</v>
      </c>
      <c r="D21" s="3" t="s">
        <v>149</v>
      </c>
      <c r="E21" s="3" t="s">
        <v>132</v>
      </c>
      <c r="F21" s="3" t="s">
        <v>121</v>
      </c>
      <c r="G21" s="3" t="str">
        <f t="shared" si="0"/>
        <v>bind F2 19;</v>
      </c>
    </row>
    <row r="22" spans="1:7" x14ac:dyDescent="0.4">
      <c r="A22" s="1">
        <f t="shared" si="1"/>
        <v>20</v>
      </c>
      <c r="B22" s="4" t="s">
        <v>135</v>
      </c>
      <c r="C22" s="3" t="s">
        <v>148</v>
      </c>
      <c r="D22" s="3" t="s">
        <v>149</v>
      </c>
      <c r="E22" s="3" t="s">
        <v>132</v>
      </c>
      <c r="F22" s="3" t="s">
        <v>121</v>
      </c>
      <c r="G22" s="3" t="str">
        <f t="shared" si="0"/>
        <v>bind F3 20;</v>
      </c>
    </row>
    <row r="23" spans="1:7" x14ac:dyDescent="0.4">
      <c r="A23" s="1">
        <f t="shared" si="1"/>
        <v>21</v>
      </c>
      <c r="B23" s="4" t="s">
        <v>136</v>
      </c>
      <c r="C23" s="3" t="s">
        <v>148</v>
      </c>
      <c r="D23" s="3" t="s">
        <v>149</v>
      </c>
      <c r="E23" s="3" t="s">
        <v>132</v>
      </c>
      <c r="F23" s="3" t="s">
        <v>121</v>
      </c>
      <c r="G23" s="3" t="str">
        <f t="shared" si="0"/>
        <v>bind F4 21;</v>
      </c>
    </row>
    <row r="24" spans="1:7" x14ac:dyDescent="0.4">
      <c r="A24" s="1">
        <f t="shared" si="1"/>
        <v>22</v>
      </c>
      <c r="B24" s="4" t="s">
        <v>137</v>
      </c>
      <c r="C24" s="3" t="s">
        <v>148</v>
      </c>
      <c r="D24" s="3" t="s">
        <v>149</v>
      </c>
      <c r="E24" s="3" t="s">
        <v>132</v>
      </c>
      <c r="F24" s="3" t="s">
        <v>121</v>
      </c>
      <c r="G24" s="3" t="str">
        <f t="shared" si="0"/>
        <v>bind F5 22;</v>
      </c>
    </row>
    <row r="25" spans="1:7" x14ac:dyDescent="0.4">
      <c r="A25" s="1">
        <f t="shared" si="1"/>
        <v>23</v>
      </c>
      <c r="B25" s="4" t="s">
        <v>138</v>
      </c>
      <c r="C25" s="3" t="s">
        <v>148</v>
      </c>
      <c r="D25" s="3" t="s">
        <v>149</v>
      </c>
      <c r="E25" s="3" t="s">
        <v>132</v>
      </c>
      <c r="F25" s="3" t="s">
        <v>121</v>
      </c>
      <c r="G25" s="3" t="str">
        <f t="shared" si="0"/>
        <v>bind F6 23;</v>
      </c>
    </row>
    <row r="26" spans="1:7" x14ac:dyDescent="0.4">
      <c r="A26" s="1">
        <f t="shared" si="1"/>
        <v>24</v>
      </c>
      <c r="B26" s="4" t="s">
        <v>139</v>
      </c>
      <c r="C26" s="3" t="s">
        <v>148</v>
      </c>
      <c r="D26" s="3" t="s">
        <v>149</v>
      </c>
      <c r="E26" s="3" t="s">
        <v>132</v>
      </c>
      <c r="F26" s="3" t="s">
        <v>121</v>
      </c>
      <c r="G26" s="3" t="str">
        <f t="shared" si="0"/>
        <v>bind F7 24;</v>
      </c>
    </row>
    <row r="27" spans="1:7" x14ac:dyDescent="0.4">
      <c r="A27" s="1">
        <f t="shared" si="1"/>
        <v>25</v>
      </c>
      <c r="B27" s="4" t="s">
        <v>140</v>
      </c>
      <c r="C27" s="3" t="s">
        <v>148</v>
      </c>
      <c r="D27" s="3" t="s">
        <v>149</v>
      </c>
      <c r="E27" s="3" t="s">
        <v>132</v>
      </c>
      <c r="F27" s="3" t="s">
        <v>123</v>
      </c>
      <c r="G27" s="3" t="str">
        <f t="shared" si="0"/>
        <v>bind LF0 25;</v>
      </c>
    </row>
    <row r="28" spans="1:7" x14ac:dyDescent="0.4">
      <c r="A28" s="1">
        <f t="shared" si="1"/>
        <v>26</v>
      </c>
      <c r="B28" s="4" t="s">
        <v>141</v>
      </c>
      <c r="C28" s="3" t="s">
        <v>148</v>
      </c>
      <c r="D28" s="3" t="s">
        <v>149</v>
      </c>
      <c r="E28" s="3" t="s">
        <v>132</v>
      </c>
      <c r="F28" s="3" t="s">
        <v>123</v>
      </c>
      <c r="G28" s="3" t="str">
        <f t="shared" si="0"/>
        <v>bind LF1 26;</v>
      </c>
    </row>
    <row r="29" spans="1:7" x14ac:dyDescent="0.4">
      <c r="A29" s="1">
        <f t="shared" si="1"/>
        <v>27</v>
      </c>
      <c r="B29" s="4" t="s">
        <v>142</v>
      </c>
      <c r="C29" s="3" t="s">
        <v>148</v>
      </c>
      <c r="D29" s="3" t="s">
        <v>149</v>
      </c>
      <c r="E29" s="3" t="s">
        <v>132</v>
      </c>
      <c r="F29" s="3" t="s">
        <v>123</v>
      </c>
      <c r="G29" s="3" t="str">
        <f t="shared" si="0"/>
        <v>bind LF2 27;</v>
      </c>
    </row>
    <row r="30" spans="1:7" x14ac:dyDescent="0.4">
      <c r="A30" s="1">
        <f t="shared" si="1"/>
        <v>28</v>
      </c>
      <c r="B30" s="4" t="s">
        <v>143</v>
      </c>
      <c r="C30" s="3" t="s">
        <v>148</v>
      </c>
      <c r="D30" s="3" t="s">
        <v>149</v>
      </c>
      <c r="E30" s="3" t="s">
        <v>132</v>
      </c>
      <c r="F30" s="3" t="s">
        <v>123</v>
      </c>
      <c r="G30" s="3" t="str">
        <f t="shared" si="0"/>
        <v>bind LF3 28;</v>
      </c>
    </row>
    <row r="31" spans="1:7" x14ac:dyDescent="0.4">
      <c r="A31" s="1">
        <f t="shared" si="1"/>
        <v>29</v>
      </c>
      <c r="B31" s="4" t="s">
        <v>144</v>
      </c>
      <c r="C31" s="3" t="s">
        <v>148</v>
      </c>
      <c r="D31" s="3" t="s">
        <v>149</v>
      </c>
      <c r="E31" s="3" t="s">
        <v>132</v>
      </c>
      <c r="F31" s="3" t="s">
        <v>123</v>
      </c>
      <c r="G31" s="3" t="str">
        <f t="shared" si="0"/>
        <v>bind LF4 29;</v>
      </c>
    </row>
    <row r="32" spans="1:7" x14ac:dyDescent="0.4">
      <c r="A32" s="1">
        <f t="shared" si="1"/>
        <v>30</v>
      </c>
      <c r="B32" s="4" t="s">
        <v>145</v>
      </c>
      <c r="C32" s="3" t="s">
        <v>148</v>
      </c>
      <c r="D32" s="3" t="s">
        <v>149</v>
      </c>
      <c r="E32" s="3" t="s">
        <v>132</v>
      </c>
      <c r="F32" s="3" t="s">
        <v>123</v>
      </c>
      <c r="G32" s="3" t="str">
        <f t="shared" si="0"/>
        <v>bind LF5 30;</v>
      </c>
    </row>
    <row r="33" spans="1:7" x14ac:dyDescent="0.4">
      <c r="A33" s="1">
        <f t="shared" si="1"/>
        <v>31</v>
      </c>
      <c r="B33" s="4" t="s">
        <v>146</v>
      </c>
      <c r="C33" s="3" t="s">
        <v>148</v>
      </c>
      <c r="D33" s="3" t="s">
        <v>149</v>
      </c>
      <c r="E33" s="3" t="s">
        <v>132</v>
      </c>
      <c r="F33" s="3" t="s">
        <v>123</v>
      </c>
      <c r="G33" s="3" t="str">
        <f t="shared" si="0"/>
        <v>bind LF6 31;</v>
      </c>
    </row>
    <row r="34" spans="1:7" x14ac:dyDescent="0.4">
      <c r="A34" s="1">
        <f t="shared" si="1"/>
        <v>32</v>
      </c>
      <c r="B34" s="4" t="s">
        <v>147</v>
      </c>
      <c r="C34" s="3" t="s">
        <v>148</v>
      </c>
      <c r="D34" s="3" t="s">
        <v>149</v>
      </c>
      <c r="E34" s="3" t="s">
        <v>132</v>
      </c>
      <c r="F34" s="3" t="s">
        <v>123</v>
      </c>
      <c r="G34" s="3" t="str">
        <f t="shared" si="0"/>
        <v>bind LF7 32;</v>
      </c>
    </row>
    <row r="35" spans="1:7" x14ac:dyDescent="0.4">
      <c r="A35" s="1">
        <f t="shared" si="1"/>
        <v>33</v>
      </c>
      <c r="B35" s="4" t="s">
        <v>161</v>
      </c>
      <c r="C35" s="3" t="s">
        <v>148</v>
      </c>
      <c r="D35" s="3" t="s">
        <v>149</v>
      </c>
      <c r="E35" s="3" t="s">
        <v>177</v>
      </c>
      <c r="F35" s="3" t="s">
        <v>169</v>
      </c>
      <c r="G35" s="3" t="str">
        <f t="shared" si="0"/>
        <v>bind IN0 33;</v>
      </c>
    </row>
    <row r="36" spans="1:7" x14ac:dyDescent="0.4">
      <c r="A36" s="1">
        <f t="shared" si="1"/>
        <v>34</v>
      </c>
      <c r="B36" s="4" t="s">
        <v>162</v>
      </c>
      <c r="C36" s="3" t="s">
        <v>148</v>
      </c>
      <c r="D36" s="3" t="s">
        <v>149</v>
      </c>
      <c r="E36" s="3" t="s">
        <v>177</v>
      </c>
      <c r="F36" s="3" t="s">
        <v>170</v>
      </c>
      <c r="G36" s="3" t="str">
        <f t="shared" si="0"/>
        <v>bind IN1 34;</v>
      </c>
    </row>
    <row r="37" spans="1:7" x14ac:dyDescent="0.4">
      <c r="A37" s="1">
        <f t="shared" si="1"/>
        <v>35</v>
      </c>
      <c r="B37" s="4" t="s">
        <v>163</v>
      </c>
      <c r="C37" s="3" t="s">
        <v>148</v>
      </c>
      <c r="D37" s="3" t="s">
        <v>149</v>
      </c>
      <c r="E37" s="3" t="s">
        <v>177</v>
      </c>
      <c r="F37" s="3" t="s">
        <v>171</v>
      </c>
      <c r="G37" s="3" t="str">
        <f t="shared" si="0"/>
        <v>bind IN2 35;</v>
      </c>
    </row>
    <row r="38" spans="1:7" x14ac:dyDescent="0.4">
      <c r="A38" s="1">
        <f t="shared" si="1"/>
        <v>36</v>
      </c>
      <c r="B38" s="4" t="s">
        <v>164</v>
      </c>
      <c r="C38" s="3" t="s">
        <v>148</v>
      </c>
      <c r="D38" s="3" t="s">
        <v>149</v>
      </c>
      <c r="E38" s="3" t="s">
        <v>177</v>
      </c>
      <c r="F38" s="3" t="s">
        <v>172</v>
      </c>
      <c r="G38" s="3" t="str">
        <f t="shared" si="0"/>
        <v>bind IN3 36;</v>
      </c>
    </row>
    <row r="39" spans="1:7" x14ac:dyDescent="0.4">
      <c r="A39" s="1">
        <f t="shared" si="1"/>
        <v>37</v>
      </c>
      <c r="B39" s="4" t="s">
        <v>165</v>
      </c>
      <c r="C39" s="3" t="s">
        <v>148</v>
      </c>
      <c r="D39" s="3" t="s">
        <v>149</v>
      </c>
      <c r="E39" s="3" t="s">
        <v>177</v>
      </c>
      <c r="F39" s="3" t="s">
        <v>173</v>
      </c>
      <c r="G39" s="3" t="str">
        <f t="shared" si="0"/>
        <v>bind IN4 37;</v>
      </c>
    </row>
    <row r="40" spans="1:7" x14ac:dyDescent="0.4">
      <c r="A40" s="1">
        <f t="shared" si="1"/>
        <v>38</v>
      </c>
      <c r="B40" s="4" t="s">
        <v>166</v>
      </c>
      <c r="C40" s="3" t="s">
        <v>148</v>
      </c>
      <c r="D40" s="3" t="s">
        <v>149</v>
      </c>
      <c r="E40" s="3" t="s">
        <v>177</v>
      </c>
      <c r="F40" s="3" t="s">
        <v>174</v>
      </c>
      <c r="G40" s="3" t="str">
        <f t="shared" si="0"/>
        <v>bind IN5 38;</v>
      </c>
    </row>
    <row r="41" spans="1:7" x14ac:dyDescent="0.4">
      <c r="A41" s="1">
        <f t="shared" si="1"/>
        <v>39</v>
      </c>
      <c r="B41" s="4" t="s">
        <v>167</v>
      </c>
      <c r="C41" s="3" t="s">
        <v>148</v>
      </c>
      <c r="D41" s="3" t="s">
        <v>149</v>
      </c>
      <c r="E41" s="3" t="s">
        <v>177</v>
      </c>
      <c r="F41" s="3" t="s">
        <v>175</v>
      </c>
      <c r="G41" s="3" t="str">
        <f t="shared" si="0"/>
        <v>bind IN6 39;</v>
      </c>
    </row>
    <row r="42" spans="1:7" x14ac:dyDescent="0.4">
      <c r="A42" s="1">
        <f t="shared" si="1"/>
        <v>40</v>
      </c>
      <c r="B42" s="4" t="s">
        <v>168</v>
      </c>
      <c r="C42" s="3" t="s">
        <v>148</v>
      </c>
      <c r="D42" s="3" t="s">
        <v>149</v>
      </c>
      <c r="E42" s="3" t="s">
        <v>177</v>
      </c>
      <c r="F42" s="3" t="s">
        <v>176</v>
      </c>
      <c r="G42" s="3" t="str">
        <f t="shared" si="0"/>
        <v>bind IN7 40;</v>
      </c>
    </row>
    <row r="43" spans="1:7" x14ac:dyDescent="0.4">
      <c r="A43" s="1">
        <f t="shared" si="1"/>
        <v>41</v>
      </c>
      <c r="B43" s="4" t="s">
        <v>178</v>
      </c>
      <c r="C43" s="3" t="s">
        <v>148</v>
      </c>
      <c r="D43" s="3" t="s">
        <v>149</v>
      </c>
      <c r="E43" s="3" t="s">
        <v>120</v>
      </c>
      <c r="F43" s="3" t="s">
        <v>186</v>
      </c>
      <c r="G43" s="3" t="str">
        <f t="shared" si="0"/>
        <v>bind OUT0 41;</v>
      </c>
    </row>
    <row r="44" spans="1:7" x14ac:dyDescent="0.4">
      <c r="A44" s="1">
        <f t="shared" si="1"/>
        <v>42</v>
      </c>
      <c r="B44" s="4" t="s">
        <v>179</v>
      </c>
      <c r="C44" s="3" t="s">
        <v>148</v>
      </c>
      <c r="D44" s="3" t="s">
        <v>149</v>
      </c>
      <c r="E44" s="3" t="s">
        <v>120</v>
      </c>
      <c r="F44" s="3" t="s">
        <v>187</v>
      </c>
      <c r="G44" s="3" t="str">
        <f t="shared" si="0"/>
        <v>bind OUT1 42;</v>
      </c>
    </row>
    <row r="45" spans="1:7" x14ac:dyDescent="0.4">
      <c r="A45" s="1">
        <f t="shared" si="1"/>
        <v>43</v>
      </c>
      <c r="B45" s="4" t="s">
        <v>180</v>
      </c>
      <c r="C45" s="3" t="s">
        <v>148</v>
      </c>
      <c r="D45" s="3" t="s">
        <v>149</v>
      </c>
      <c r="E45" s="3" t="s">
        <v>120</v>
      </c>
      <c r="F45" s="3" t="s">
        <v>188</v>
      </c>
      <c r="G45" s="3" t="str">
        <f t="shared" si="0"/>
        <v>bind OUT2 43;</v>
      </c>
    </row>
    <row r="46" spans="1:7" x14ac:dyDescent="0.4">
      <c r="A46" s="1">
        <f t="shared" si="1"/>
        <v>44</v>
      </c>
      <c r="B46" s="4" t="s">
        <v>181</v>
      </c>
      <c r="C46" s="3" t="s">
        <v>148</v>
      </c>
      <c r="D46" s="3" t="s">
        <v>149</v>
      </c>
      <c r="E46" s="3" t="s">
        <v>120</v>
      </c>
      <c r="F46" s="3" t="s">
        <v>189</v>
      </c>
      <c r="G46" s="3" t="str">
        <f t="shared" si="0"/>
        <v>bind OUT3 44;</v>
      </c>
    </row>
    <row r="47" spans="1:7" x14ac:dyDescent="0.4">
      <c r="A47" s="1">
        <f t="shared" si="1"/>
        <v>45</v>
      </c>
      <c r="B47" s="4" t="s">
        <v>182</v>
      </c>
      <c r="C47" s="3" t="s">
        <v>148</v>
      </c>
      <c r="D47" s="3" t="s">
        <v>149</v>
      </c>
      <c r="E47" s="3" t="s">
        <v>120</v>
      </c>
      <c r="F47" s="3" t="s">
        <v>190</v>
      </c>
      <c r="G47" s="3" t="str">
        <f t="shared" si="0"/>
        <v>bind OUT4 45;</v>
      </c>
    </row>
    <row r="48" spans="1:7" x14ac:dyDescent="0.4">
      <c r="A48" s="1">
        <f t="shared" si="1"/>
        <v>46</v>
      </c>
      <c r="B48" s="4" t="s">
        <v>183</v>
      </c>
      <c r="C48" s="3" t="s">
        <v>148</v>
      </c>
      <c r="D48" s="3" t="s">
        <v>149</v>
      </c>
      <c r="E48" s="3" t="s">
        <v>120</v>
      </c>
      <c r="F48" s="3" t="s">
        <v>191</v>
      </c>
      <c r="G48" s="3" t="str">
        <f t="shared" si="0"/>
        <v>bind OUT5 46;</v>
      </c>
    </row>
    <row r="49" spans="1:7" x14ac:dyDescent="0.4">
      <c r="A49" s="1">
        <f t="shared" si="1"/>
        <v>47</v>
      </c>
      <c r="B49" s="4" t="s">
        <v>184</v>
      </c>
      <c r="C49" s="3" t="s">
        <v>148</v>
      </c>
      <c r="D49" s="3" t="s">
        <v>149</v>
      </c>
      <c r="E49" s="3" t="s">
        <v>120</v>
      </c>
      <c r="F49" s="3" t="s">
        <v>192</v>
      </c>
      <c r="G49" s="3" t="str">
        <f t="shared" si="0"/>
        <v>bind OUT6 47;</v>
      </c>
    </row>
    <row r="50" spans="1:7" x14ac:dyDescent="0.4">
      <c r="A50" s="1">
        <f t="shared" si="1"/>
        <v>48</v>
      </c>
      <c r="B50" s="4" t="s">
        <v>185</v>
      </c>
      <c r="C50" s="3" t="s">
        <v>148</v>
      </c>
      <c r="D50" s="3" t="s">
        <v>149</v>
      </c>
      <c r="E50" s="3" t="s">
        <v>120</v>
      </c>
      <c r="F50" s="3" t="s">
        <v>193</v>
      </c>
      <c r="G50" s="3" t="str">
        <f t="shared" si="0"/>
        <v>bind OUT7 48;</v>
      </c>
    </row>
    <row r="51" spans="1:7" x14ac:dyDescent="0.4">
      <c r="A51" s="1">
        <f t="shared" si="1"/>
        <v>49</v>
      </c>
      <c r="B51" s="4" t="s">
        <v>206</v>
      </c>
      <c r="C51" s="3" t="s">
        <v>148</v>
      </c>
      <c r="D51" s="3" t="s">
        <v>150</v>
      </c>
      <c r="E51" s="3" t="s">
        <v>120</v>
      </c>
      <c r="F51" s="3" t="s">
        <v>151</v>
      </c>
      <c r="G51" s="3" t="str">
        <f t="shared" si="0"/>
        <v>bind RAND 49;</v>
      </c>
    </row>
    <row r="52" spans="1:7" x14ac:dyDescent="0.4">
      <c r="A52" s="1">
        <f t="shared" si="1"/>
        <v>50</v>
      </c>
      <c r="B52" s="4" t="s">
        <v>218</v>
      </c>
      <c r="C52" s="3" t="s">
        <v>148</v>
      </c>
      <c r="D52" s="3" t="s">
        <v>150</v>
      </c>
      <c r="E52" s="3" t="s">
        <v>132</v>
      </c>
      <c r="F52" s="3" t="s">
        <v>194</v>
      </c>
      <c r="G52" s="3" t="str">
        <f t="shared" si="0"/>
        <v>bind RANDF 50;</v>
      </c>
    </row>
    <row r="53" spans="1:7" x14ac:dyDescent="0.4">
      <c r="A53" s="1">
        <f t="shared" si="1"/>
        <v>51</v>
      </c>
      <c r="B53" s="4" t="s">
        <v>207</v>
      </c>
      <c r="C53" s="3" t="s">
        <v>148</v>
      </c>
      <c r="D53" s="3" t="s">
        <v>150</v>
      </c>
      <c r="E53" s="3" t="s">
        <v>132</v>
      </c>
      <c r="F53" s="3" t="s">
        <v>195</v>
      </c>
      <c r="G53" s="3" t="str">
        <f t="shared" si="0"/>
        <v>bind RANDF2 51;</v>
      </c>
    </row>
    <row r="54" spans="1:7" x14ac:dyDescent="0.4">
      <c r="A54" s="1">
        <f t="shared" si="1"/>
        <v>52</v>
      </c>
      <c r="B54" s="4" t="s">
        <v>208</v>
      </c>
      <c r="C54" s="3" t="s">
        <v>148</v>
      </c>
      <c r="D54" s="3" t="s">
        <v>150</v>
      </c>
      <c r="E54" s="3" t="s">
        <v>132</v>
      </c>
      <c r="F54" s="3" t="s">
        <v>158</v>
      </c>
      <c r="G54" s="3" t="str">
        <f t="shared" si="0"/>
        <v>bind RANDRAD 52;</v>
      </c>
    </row>
    <row r="55" spans="1:7" x14ac:dyDescent="0.4">
      <c r="A55" s="1">
        <f t="shared" si="1"/>
        <v>53</v>
      </c>
      <c r="B55" s="4" t="s">
        <v>209</v>
      </c>
      <c r="C55" s="3" t="s">
        <v>152</v>
      </c>
      <c r="D55" s="3" t="s">
        <v>150</v>
      </c>
      <c r="E55" s="3" t="s">
        <v>120</v>
      </c>
      <c r="F55" s="3" t="s">
        <v>153</v>
      </c>
      <c r="G55" s="3" t="str">
        <f t="shared" si="0"/>
        <v>bind DIFF 53;</v>
      </c>
    </row>
    <row r="56" spans="1:7" x14ac:dyDescent="0.4">
      <c r="A56" s="1">
        <f t="shared" si="1"/>
        <v>54</v>
      </c>
      <c r="B56" s="4" t="s">
        <v>210</v>
      </c>
      <c r="C56" s="3" t="s">
        <v>152</v>
      </c>
      <c r="D56" s="3" t="s">
        <v>150</v>
      </c>
      <c r="E56" s="3" t="s">
        <v>120</v>
      </c>
      <c r="F56" s="3" t="s">
        <v>154</v>
      </c>
      <c r="G56" s="3" t="str">
        <f t="shared" si="0"/>
        <v>bind RANK 54;</v>
      </c>
    </row>
    <row r="57" spans="1:7" x14ac:dyDescent="0.4">
      <c r="A57" s="1">
        <f t="shared" si="1"/>
        <v>55</v>
      </c>
      <c r="B57" s="4" t="s">
        <v>211</v>
      </c>
      <c r="C57" s="3" t="s">
        <v>148</v>
      </c>
      <c r="D57" s="3" t="s">
        <v>150</v>
      </c>
      <c r="E57" s="3" t="s">
        <v>120</v>
      </c>
      <c r="F57" s="3" t="s">
        <v>155</v>
      </c>
      <c r="G57" s="3" t="str">
        <f t="shared" si="0"/>
        <v>bind TIME 55;</v>
      </c>
    </row>
    <row r="58" spans="1:7" x14ac:dyDescent="0.4">
      <c r="A58" s="1">
        <f t="shared" si="1"/>
        <v>56</v>
      </c>
      <c r="B58" s="4" t="s">
        <v>212</v>
      </c>
      <c r="C58" s="3" t="s">
        <v>148</v>
      </c>
      <c r="D58" s="3" t="s">
        <v>149</v>
      </c>
      <c r="E58" s="3" t="s">
        <v>120</v>
      </c>
      <c r="F58" s="3" t="s">
        <v>156</v>
      </c>
      <c r="G58" s="3" t="str">
        <f t="shared" si="0"/>
        <v>bind CLOCK 56;</v>
      </c>
    </row>
    <row r="59" spans="1:7" x14ac:dyDescent="0.4">
      <c r="A59" s="5"/>
      <c r="B59" s="6"/>
      <c r="C59" s="7"/>
      <c r="D59" s="7"/>
      <c r="E59" s="7"/>
      <c r="F59" s="7" t="s">
        <v>160</v>
      </c>
    </row>
    <row r="60" spans="1:7" x14ac:dyDescent="0.4">
      <c r="A60" s="1">
        <v>256</v>
      </c>
      <c r="B60" s="4" t="s">
        <v>213</v>
      </c>
      <c r="C60" s="3" t="s">
        <v>152</v>
      </c>
      <c r="D60" s="3" t="s">
        <v>150</v>
      </c>
      <c r="E60" s="3" t="s">
        <v>120</v>
      </c>
      <c r="F60" s="3" t="s">
        <v>157</v>
      </c>
      <c r="G60" s="3" t="str">
        <f t="shared" ref="G60" si="2">_xlfn.CONCAT("bind ", B60, " ", A60, ";")</f>
        <v>bind SHOT 256;</v>
      </c>
    </row>
    <row r="66" spans="2:2" x14ac:dyDescent="0.4">
      <c r="B66" s="3"/>
    </row>
    <row r="67" spans="2:2" x14ac:dyDescent="0.4">
      <c r="B67" s="3"/>
    </row>
    <row r="68" spans="2:2" x14ac:dyDescent="0.4">
      <c r="B68" s="3"/>
    </row>
    <row r="69" spans="2:2" x14ac:dyDescent="0.4">
      <c r="B69" s="3"/>
    </row>
    <row r="70" spans="2:2" x14ac:dyDescent="0.4">
      <c r="B70" s="3"/>
    </row>
    <row r="71" spans="2:2" x14ac:dyDescent="0.4">
      <c r="B71" s="3"/>
    </row>
    <row r="72" spans="2:2" x14ac:dyDescent="0.4">
      <c r="B72" s="3"/>
    </row>
    <row r="73" spans="2:2" x14ac:dyDescent="0.4">
      <c r="B73" s="3"/>
    </row>
    <row r="74" spans="2:2" x14ac:dyDescent="0.4">
      <c r="B74" s="3"/>
    </row>
  </sheetData>
  <phoneticPr fontId="2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RoutineBase OpCodes</vt:lpstr>
      <vt:lpstr>VarTable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Phoenix Johnson</dc:creator>
  <cp:lastModifiedBy>Phoenix Johnson</cp:lastModifiedBy>
  <dcterms:created xsi:type="dcterms:W3CDTF">2015-06-05T18:17:20Z</dcterms:created>
  <dcterms:modified xsi:type="dcterms:W3CDTF">2022-12-20T23:27:35Z</dcterms:modified>
</cp:coreProperties>
</file>